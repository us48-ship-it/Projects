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pring 2026\FMR-B\LBO Pitch CPRX\"/>
    </mc:Choice>
  </mc:AlternateContent>
  <xr:revisionPtr revIDLastSave="0" documentId="13_ncr:1_{C3DC3A9D-402D-42B6-A062-8E0A8EE3FEA0}" xr6:coauthVersionLast="47" xr6:coauthVersionMax="47" xr10:uidLastSave="{00000000-0000-0000-0000-000000000000}"/>
  <bookViews>
    <workbookView xWindow="-108" yWindow="-108" windowWidth="23256" windowHeight="13896" tabRatio="500" firstSheet="1" activeTab="3" xr2:uid="{00000000-000D-0000-FFFF-FFFF00000000}"/>
  </bookViews>
  <sheets>
    <sheet name="Summary" sheetId="1" r:id="rId1"/>
    <sheet name="Transaction Assumptions" sheetId="2" r:id="rId2"/>
    <sheet name="Levered FCFs" sheetId="3" r:id="rId3"/>
    <sheet name="Capital Structure" sheetId="4" r:id="rId4"/>
    <sheet name="Returns Analysis" sheetId="5" r:id="rId5"/>
    <sheet name="Value Creation" sheetId="6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iterateCount="100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" i="5" l="1"/>
  <c r="E30" i="5" s="1"/>
  <c r="D30" i="5" s="1"/>
  <c r="C30" i="5" s="1"/>
  <c r="B30" i="5" s="1"/>
  <c r="F20" i="5"/>
  <c r="G20" i="5" s="1"/>
  <c r="H20" i="5" s="1"/>
  <c r="I20" i="5" s="1"/>
  <c r="E6" i="5"/>
  <c r="E6" i="1"/>
  <c r="K21" i="5"/>
  <c r="G6" i="3" s="1"/>
  <c r="G26" i="3" s="1"/>
  <c r="F6" i="5"/>
  <c r="D6" i="5"/>
  <c r="B22" i="6"/>
  <c r="C13" i="4"/>
  <c r="B25" i="6"/>
  <c r="E20" i="2"/>
  <c r="B20" i="2"/>
  <c r="G10" i="3"/>
  <c r="H10" i="3" s="1"/>
  <c r="I10" i="3" s="1"/>
  <c r="J10" i="3" s="1"/>
  <c r="K10" i="3" s="1"/>
  <c r="G33" i="3"/>
  <c r="H33" i="3" s="1"/>
  <c r="I33" i="3" s="1"/>
  <c r="J33" i="3" s="1"/>
  <c r="K33" i="3" s="1"/>
  <c r="B33" i="4"/>
  <c r="C33" i="4" s="1"/>
  <c r="D33" i="4" s="1"/>
  <c r="E33" i="4" s="1"/>
  <c r="F33" i="4" s="1"/>
  <c r="G33" i="4" s="1"/>
  <c r="B28" i="4"/>
  <c r="B34" i="4" s="1"/>
  <c r="C28" i="4" s="1"/>
  <c r="C30" i="4" s="1"/>
  <c r="B40" i="2"/>
  <c r="B43" i="2"/>
  <c r="B9" i="1"/>
  <c r="B10" i="1" s="1"/>
  <c r="B9" i="2"/>
  <c r="B10" i="2" s="1"/>
  <c r="E19" i="2" s="1"/>
  <c r="E23" i="2" s="1"/>
  <c r="B23" i="2" s="1"/>
  <c r="C40" i="2"/>
  <c r="C42" i="2"/>
  <c r="C41" i="2"/>
  <c r="G31" i="4"/>
  <c r="F31" i="4"/>
  <c r="E31" i="4"/>
  <c r="D31" i="4"/>
  <c r="C31" i="4"/>
  <c r="G25" i="4"/>
  <c r="F25" i="4"/>
  <c r="E25" i="4"/>
  <c r="D25" i="4"/>
  <c r="C25" i="4"/>
  <c r="B25" i="4"/>
  <c r="B23" i="4"/>
  <c r="C9" i="4"/>
  <c r="D6" i="4"/>
  <c r="C6" i="4"/>
  <c r="K29" i="3"/>
  <c r="J29" i="3"/>
  <c r="I29" i="3"/>
  <c r="H29" i="3"/>
  <c r="G29" i="3"/>
  <c r="K28" i="3"/>
  <c r="J28" i="3"/>
  <c r="I28" i="3"/>
  <c r="H28" i="3"/>
  <c r="G28" i="3"/>
  <c r="B8" i="2"/>
  <c r="E20" i="5" l="1"/>
  <c r="D20" i="5" s="1"/>
  <c r="C20" i="5" s="1"/>
  <c r="B20" i="5" s="1"/>
  <c r="G30" i="5"/>
  <c r="H30" i="5" s="1"/>
  <c r="I30" i="5" s="1"/>
  <c r="H6" i="3"/>
  <c r="I6" i="3" s="1"/>
  <c r="J6" i="3" s="1"/>
  <c r="K6" i="3" s="1"/>
  <c r="B14" i="1"/>
  <c r="B6" i="1"/>
  <c r="G7" i="3"/>
  <c r="G8" i="3" s="1"/>
  <c r="G19" i="3"/>
  <c r="C10" i="4"/>
  <c r="B21" i="2"/>
  <c r="B41" i="2" s="1"/>
  <c r="B22" i="2"/>
  <c r="B42" i="2" s="1"/>
  <c r="B6" i="6"/>
  <c r="B7" i="1"/>
  <c r="B13" i="2"/>
  <c r="B15" i="2" s="1"/>
  <c r="G32" i="3"/>
  <c r="D9" i="4"/>
  <c r="G9" i="3"/>
  <c r="G27" i="3"/>
  <c r="G11" i="3" l="1"/>
  <c r="G18" i="3" s="1"/>
  <c r="B18" i="4"/>
  <c r="B20" i="4" s="1"/>
  <c r="C18" i="4"/>
  <c r="H19" i="3"/>
  <c r="H7" i="3"/>
  <c r="H8" i="3" s="1"/>
  <c r="C12" i="4"/>
  <c r="B22" i="4"/>
  <c r="B12" i="4"/>
  <c r="B15" i="4" s="1"/>
  <c r="F13" i="5"/>
  <c r="F54" i="5" s="1"/>
  <c r="D13" i="5"/>
  <c r="D54" i="5" s="1"/>
  <c r="E13" i="5"/>
  <c r="E54" i="5" s="1"/>
  <c r="H9" i="3"/>
  <c r="C14" i="1"/>
  <c r="H27" i="3"/>
  <c r="H26" i="3"/>
  <c r="E6" i="4"/>
  <c r="D10" i="4"/>
  <c r="H11" i="3" l="1"/>
  <c r="H18" i="3" s="1"/>
  <c r="G30" i="3"/>
  <c r="I7" i="3"/>
  <c r="I8" i="3" s="1"/>
  <c r="I19" i="3"/>
  <c r="B24" i="4"/>
  <c r="B26" i="4" s="1"/>
  <c r="B35" i="4"/>
  <c r="B24" i="2"/>
  <c r="B8" i="1"/>
  <c r="C19" i="4"/>
  <c r="C38" i="4" s="1"/>
  <c r="C20" i="4"/>
  <c r="D18" i="4" s="1"/>
  <c r="D19" i="4" s="1"/>
  <c r="D38" i="4" s="1"/>
  <c r="B31" i="6"/>
  <c r="E9" i="4"/>
  <c r="I9" i="3"/>
  <c r="I26" i="3"/>
  <c r="D14" i="1"/>
  <c r="I27" i="3"/>
  <c r="C23" i="4"/>
  <c r="G22" i="3"/>
  <c r="B16" i="1"/>
  <c r="B15" i="1"/>
  <c r="G20" i="3"/>
  <c r="J19" i="3" l="1"/>
  <c r="J7" i="3"/>
  <c r="J8" i="3" s="1"/>
  <c r="D20" i="4"/>
  <c r="E18" i="4" s="1"/>
  <c r="E14" i="1"/>
  <c r="J26" i="3"/>
  <c r="J27" i="3"/>
  <c r="J9" i="3"/>
  <c r="F6" i="4"/>
  <c r="E10" i="4"/>
  <c r="C16" i="1"/>
  <c r="D23" i="4"/>
  <c r="H22" i="3"/>
  <c r="H20" i="3"/>
  <c r="C15" i="1"/>
  <c r="I11" i="3"/>
  <c r="J11" i="3" l="1"/>
  <c r="J18" i="3" s="1"/>
  <c r="K7" i="3"/>
  <c r="K8" i="3" s="1"/>
  <c r="K19" i="3"/>
  <c r="F9" i="4"/>
  <c r="I18" i="3"/>
  <c r="K26" i="3"/>
  <c r="K9" i="3"/>
  <c r="K27" i="3"/>
  <c r="F14" i="1"/>
  <c r="E19" i="4"/>
  <c r="E38" i="4" s="1"/>
  <c r="K11" i="3" l="1"/>
  <c r="K18" i="3" s="1"/>
  <c r="E20" i="4"/>
  <c r="F18" i="4" s="1"/>
  <c r="D16" i="1"/>
  <c r="E23" i="4"/>
  <c r="I20" i="3"/>
  <c r="D15" i="1"/>
  <c r="I22" i="3"/>
  <c r="G6" i="4"/>
  <c r="E16" i="1"/>
  <c r="F23" i="4"/>
  <c r="J20" i="3"/>
  <c r="J22" i="3"/>
  <c r="E15" i="1"/>
  <c r="F10" i="4"/>
  <c r="G23" i="4" l="1"/>
  <c r="K20" i="3"/>
  <c r="F7" i="5"/>
  <c r="F8" i="5" s="1"/>
  <c r="D7" i="5"/>
  <c r="D8" i="5" s="1"/>
  <c r="F16" i="1"/>
  <c r="F15" i="1"/>
  <c r="K22" i="3"/>
  <c r="E7" i="5"/>
  <c r="B12" i="6" s="1"/>
  <c r="G9" i="4"/>
  <c r="G10" i="4" s="1"/>
  <c r="F19" i="4"/>
  <c r="F38" i="4" s="1"/>
  <c r="F20" i="4" l="1"/>
  <c r="B13" i="6"/>
  <c r="E8" i="5"/>
  <c r="G18" i="4" l="1"/>
  <c r="E7" i="1"/>
  <c r="B19" i="6"/>
  <c r="C20" i="6" s="1"/>
  <c r="B7" i="6"/>
  <c r="B8" i="6" s="1"/>
  <c r="C19" i="6" l="1"/>
  <c r="G19" i="4"/>
  <c r="G38" i="4" s="1"/>
  <c r="G20" i="4" l="1"/>
  <c r="D12" i="4"/>
  <c r="E12" i="4"/>
  <c r="F12" i="4"/>
  <c r="G12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22" i="4"/>
  <c r="D22" i="4"/>
  <c r="E22" i="4"/>
  <c r="F22" i="4"/>
  <c r="G22" i="4"/>
  <c r="C24" i="4"/>
  <c r="D24" i="4"/>
  <c r="E24" i="4"/>
  <c r="F24" i="4"/>
  <c r="G24" i="4"/>
  <c r="C26" i="4"/>
  <c r="D26" i="4"/>
  <c r="E26" i="4"/>
  <c r="F26" i="4"/>
  <c r="G26" i="4"/>
  <c r="D28" i="4"/>
  <c r="E28" i="4"/>
  <c r="F28" i="4"/>
  <c r="G28" i="4"/>
  <c r="C29" i="4"/>
  <c r="D29" i="4"/>
  <c r="E29" i="4"/>
  <c r="F29" i="4"/>
  <c r="G29" i="4"/>
  <c r="D30" i="4"/>
  <c r="E30" i="4"/>
  <c r="F30" i="4"/>
  <c r="G30" i="4"/>
  <c r="C32" i="4"/>
  <c r="D32" i="4"/>
  <c r="E32" i="4"/>
  <c r="F32" i="4"/>
  <c r="G32" i="4"/>
  <c r="C34" i="4"/>
  <c r="D34" i="4"/>
  <c r="E34" i="4"/>
  <c r="F34" i="4"/>
  <c r="G34" i="4"/>
  <c r="C35" i="4"/>
  <c r="D35" i="4"/>
  <c r="E35" i="4"/>
  <c r="F35" i="4"/>
  <c r="G35" i="4"/>
  <c r="C37" i="4"/>
  <c r="D37" i="4"/>
  <c r="E37" i="4"/>
  <c r="F37" i="4"/>
  <c r="G37" i="4"/>
  <c r="C39" i="4"/>
  <c r="D39" i="4"/>
  <c r="E39" i="4"/>
  <c r="F39" i="4"/>
  <c r="G39" i="4"/>
  <c r="G12" i="3"/>
  <c r="H12" i="3"/>
  <c r="I12" i="3"/>
  <c r="J12" i="3"/>
  <c r="K12" i="3"/>
  <c r="H13" i="3"/>
  <c r="I13" i="3"/>
  <c r="J13" i="3"/>
  <c r="K13" i="3"/>
  <c r="G14" i="3"/>
  <c r="H14" i="3"/>
  <c r="I14" i="3"/>
  <c r="J14" i="3"/>
  <c r="K14" i="3"/>
  <c r="G15" i="3"/>
  <c r="H15" i="3"/>
  <c r="I15" i="3"/>
  <c r="J15" i="3"/>
  <c r="K15" i="3"/>
  <c r="G16" i="3"/>
  <c r="H16" i="3"/>
  <c r="I16" i="3"/>
  <c r="J16" i="3"/>
  <c r="K16" i="3"/>
  <c r="H23" i="3"/>
  <c r="I23" i="3"/>
  <c r="J23" i="3"/>
  <c r="K23" i="3"/>
  <c r="G24" i="3"/>
  <c r="H24" i="3"/>
  <c r="I24" i="3"/>
  <c r="J24" i="3"/>
  <c r="K24" i="3"/>
  <c r="G25" i="3"/>
  <c r="H25" i="3"/>
  <c r="I25" i="3"/>
  <c r="J25" i="3"/>
  <c r="K25" i="3"/>
  <c r="H30" i="3"/>
  <c r="I30" i="3"/>
  <c r="J30" i="3"/>
  <c r="K30" i="3"/>
  <c r="G31" i="3"/>
  <c r="H31" i="3"/>
  <c r="I31" i="3"/>
  <c r="J31" i="3"/>
  <c r="K31" i="3"/>
  <c r="H32" i="3"/>
  <c r="I32" i="3"/>
  <c r="J32" i="3"/>
  <c r="K32" i="3"/>
  <c r="G34" i="3"/>
  <c r="H34" i="3"/>
  <c r="I34" i="3"/>
  <c r="J34" i="3"/>
  <c r="K34" i="3"/>
  <c r="D9" i="5"/>
  <c r="E9" i="5"/>
  <c r="F9" i="5"/>
  <c r="D10" i="5"/>
  <c r="E10" i="5"/>
  <c r="F10" i="5"/>
  <c r="D14" i="5"/>
  <c r="E14" i="5"/>
  <c r="F14" i="5"/>
  <c r="D15" i="5"/>
  <c r="E15" i="5"/>
  <c r="F15" i="5"/>
  <c r="D16" i="5"/>
  <c r="E16" i="5"/>
  <c r="F16" i="5"/>
  <c r="A20" i="5"/>
  <c r="L21" i="5"/>
  <c r="M21" i="5"/>
  <c r="A30" i="5"/>
  <c r="D59" i="5"/>
  <c r="E59" i="5"/>
  <c r="F59" i="5"/>
  <c r="E8" i="1"/>
  <c r="E9" i="1"/>
  <c r="E10" i="1"/>
  <c r="E11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C12" i="6"/>
  <c r="C13" i="6"/>
  <c r="B14" i="6"/>
  <c r="C14" i="6"/>
  <c r="B15" i="6"/>
  <c r="C15" i="6"/>
  <c r="B21" i="6"/>
  <c r="C21" i="6"/>
  <c r="C22" i="6"/>
  <c r="B23" i="6"/>
  <c r="C23" i="6"/>
  <c r="B24" i="6"/>
  <c r="C24" i="6"/>
  <c r="C25" i="6"/>
  <c r="B26" i="6"/>
  <c r="C26" i="6"/>
  <c r="B27" i="6"/>
  <c r="C27" i="6"/>
  <c r="B28" i="6"/>
  <c r="C28" i="6"/>
  <c r="B32" i="6"/>
  <c r="B33" i="6"/>
  <c r="B34" i="6"/>
  <c r="B35" i="6"/>
  <c r="B36" i="6"/>
  <c r="B37" i="6"/>
  <c r="B38" i="6"/>
</calcChain>
</file>

<file path=xl/sharedStrings.xml><?xml version="1.0" encoding="utf-8"?>
<sst xmlns="http://schemas.openxmlformats.org/spreadsheetml/2006/main" count="317" uniqueCount="281">
  <si>
    <t>CATALYST PHARMACEUTICALS (CPRX) – LBO MODEL SUMMARY</t>
  </si>
  <si>
    <t>Source: S&amp;P Capital IQ  |  All figures in $000s  |  Prepared: March 2026</t>
  </si>
  <si>
    <t>▌  KEY DEAL METRICS</t>
  </si>
  <si>
    <t>Metric</t>
  </si>
  <si>
    <t>Value</t>
  </si>
  <si>
    <t>Entry EV/EBITDA</t>
  </si>
  <si>
    <t>Exit EV/EBITDA (Base)</t>
  </si>
  <si>
    <t>Entry EV ($000)</t>
  </si>
  <si>
    <t>Exit EV ($000, Base)</t>
  </si>
  <si>
    <t>Sponsor Equity ($000)</t>
  </si>
  <si>
    <t>Equity Proceeds ($000, Base)</t>
  </si>
  <si>
    <t>Total Debt at Entry ($000)</t>
  </si>
  <si>
    <t>MOIC (Base)</t>
  </si>
  <si>
    <t>Entry Leverage (x)</t>
  </si>
  <si>
    <t>IRR (Base)</t>
  </si>
  <si>
    <t>▌  PROJECTED FINANCIALS SNAPSHOT</t>
  </si>
  <si>
    <t>Metric ($000)</t>
  </si>
  <si>
    <t>2026E</t>
  </si>
  <si>
    <t>2027E</t>
  </si>
  <si>
    <t>2028E</t>
  </si>
  <si>
    <t>2029E</t>
  </si>
  <si>
    <t>2030E</t>
  </si>
  <si>
    <t>Revenue</t>
  </si>
  <si>
    <t>EBITDA</t>
  </si>
  <si>
    <t>EBITDA Margin</t>
  </si>
  <si>
    <t>LFCF</t>
  </si>
  <si>
    <t>Total Debt</t>
  </si>
  <si>
    <t>Net Leverage (x)</t>
  </si>
  <si>
    <t>▌  MODEL NAVIGATION</t>
  </si>
  <si>
    <t>▌  COLOR LEGEND</t>
  </si>
  <si>
    <t>Blue text</t>
  </si>
  <si>
    <t>Black text</t>
  </si>
  <si>
    <t>Green text</t>
  </si>
  <si>
    <t>Yellow highlight</t>
  </si>
  <si>
    <t>Green background</t>
  </si>
  <si>
    <t>CPRX – LBO MODEL  |  Transaction Assumptions</t>
  </si>
  <si>
    <t>All figures in $000s unless otherwise noted  |  Source: S&amp;P Capital IQ</t>
  </si>
  <si>
    <t>▌  ENTRY VALUATION</t>
  </si>
  <si>
    <t>Entry Date</t>
  </si>
  <si>
    <t>12/31/2025</t>
  </si>
  <si>
    <t>Acquisition closing date</t>
  </si>
  <si>
    <t>LTM Revenue ($000)</t>
  </si>
  <si>
    <t>Source: S&amp;P CIQ 2025 FY</t>
  </si>
  <si>
    <t>LTM EBITDA ($000)</t>
  </si>
  <si>
    <t>LTM EBITDA Margin</t>
  </si>
  <si>
    <t>Calculated</t>
  </si>
  <si>
    <t>Entry EV/EBITDA Multiple</t>
  </si>
  <si>
    <t>Entry multiple assumption</t>
  </si>
  <si>
    <t>Enterprise Value ($000)</t>
  </si>
  <si>
    <t>EV = EBITDA × Entry Multiple</t>
  </si>
  <si>
    <t>(+) Cash on Balance Sheet ($000)</t>
  </si>
  <si>
    <t>(−) Total Debt at Close ($000)</t>
  </si>
  <si>
    <t>Equity Value (implied) ($000)</t>
  </si>
  <si>
    <t>EV + Cash − Debt</t>
  </si>
  <si>
    <t>Shares Outstanding (000s)</t>
  </si>
  <si>
    <t>Implied Price per Share ($)</t>
  </si>
  <si>
    <t>▌  SOURCES &amp; USES OF FUNDS</t>
  </si>
  <si>
    <t>Sources ($000)</t>
  </si>
  <si>
    <t>Amount</t>
  </si>
  <si>
    <t>Uses ($000)</t>
  </si>
  <si>
    <t>Revolver (drawn at close)</t>
  </si>
  <si>
    <t>Enterprise Value (Purchase Price)</t>
  </si>
  <si>
    <t>Term Loan B</t>
  </si>
  <si>
    <t>Minimum Cash Balance</t>
  </si>
  <si>
    <t>PIK Loan</t>
  </si>
  <si>
    <t>Transaction Fees &amp; Expenses</t>
  </si>
  <si>
    <t>Sponsor Equity</t>
  </si>
  <si>
    <t>Total Uses</t>
  </si>
  <si>
    <t>Total Sources</t>
  </si>
  <si>
    <t>▌  OPERATING ASSUMPTIONS (Projection Period)</t>
  </si>
  <si>
    <t>Assumption</t>
  </si>
  <si>
    <t>Notes</t>
  </si>
  <si>
    <t>Revenue Growth Rate (YoY)</t>
  </si>
  <si>
    <t>Growth applied to LTM Revenue</t>
  </si>
  <si>
    <t>Gross Margin %</t>
  </si>
  <si>
    <t>Based on 2025A: 489,027/588,989</t>
  </si>
  <si>
    <t>SG&amp;A as % of Revenue</t>
  </si>
  <si>
    <t>Based on 2025A: 193,751/588,989</t>
  </si>
  <si>
    <t>D&amp;A as % of Revenue</t>
  </si>
  <si>
    <t>Based on 2025A: 37,873/588,989</t>
  </si>
  <si>
    <t>CapEx as % of Revenue</t>
  </si>
  <si>
    <t>Normalized; 2025A minimal</t>
  </si>
  <si>
    <t>Cash Tax Rate</t>
  </si>
  <si>
    <t>Effective rate 2025A</t>
  </si>
  <si>
    <t>Change in NWC as % of Revenue</t>
  </si>
  <si>
    <t>Avg 2023-2025 NWC build</t>
  </si>
  <si>
    <t>Amortization of Intangibles ($000)</t>
  </si>
  <si>
    <t>Constant from 2025 level</t>
  </si>
  <si>
    <t>Stock-Based Compensation ($000)</t>
  </si>
  <si>
    <t>2025A level (non-cash add-back)</t>
  </si>
  <si>
    <t>▌  DEBT ASSUMPTIONS</t>
  </si>
  <si>
    <t>Tranche</t>
  </si>
  <si>
    <t>Principal ($000)</t>
  </si>
  <si>
    <t>Interest Rate</t>
  </si>
  <si>
    <t>Amort/PIK %</t>
  </si>
  <si>
    <t>Revolver</t>
  </si>
  <si>
    <t>Commitment; drawn as needed</t>
  </si>
  <si>
    <t>5% annual amortization</t>
  </si>
  <si>
    <t>100% PIK (accrues to principal)</t>
  </si>
  <si>
    <t>Cash Floor (Min Balance $000)</t>
  </si>
  <si>
    <t>Minimum cash maintained</t>
  </si>
  <si>
    <t>Max Leverage Covenant (x EBITDA)</t>
  </si>
  <si>
    <t>Revolver draw trigger</t>
  </si>
  <si>
    <t>▌  EXIT ASSUMPTIONS</t>
  </si>
  <si>
    <t>Bear</t>
  </si>
  <si>
    <t>Base</t>
  </si>
  <si>
    <t>Bull</t>
  </si>
  <si>
    <t>Exit Year</t>
  </si>
  <si>
    <t>5-year hold</t>
  </si>
  <si>
    <t>Exit EV/EBITDA Multiple (x)</t>
  </si>
  <si>
    <t>Sensitivity range</t>
  </si>
  <si>
    <t>Net Debt at Exit</t>
  </si>
  <si>
    <t>From Capital Structure sheet</t>
  </si>
  <si>
    <t>CPRX – Levered Free Cash Flow Projections</t>
  </si>
  <si>
    <t>All figures in $000s  |  Fiscal Year Ending December 31</t>
  </si>
  <si>
    <t>2021A</t>
  </si>
  <si>
    <t>2022A</t>
  </si>
  <si>
    <t>2023A</t>
  </si>
  <si>
    <t>2024A</t>
  </si>
  <si>
    <t>2025A</t>
  </si>
  <si>
    <t>▌  INCOME STATEMENT</t>
  </si>
  <si>
    <t xml:space="preserve">    Cost of Goods Sold</t>
  </si>
  <si>
    <t>Gross Profit</t>
  </si>
  <si>
    <t xml:space="preserve">    SG&amp;A Expense</t>
  </si>
  <si>
    <t xml:space="preserve">    Amortization of Intangibles</t>
  </si>
  <si>
    <t>EBIT (Operating Income)</t>
  </si>
  <si>
    <t>Interest Expense (linked → Capital Structure)</t>
  </si>
  <si>
    <t>EBT (Earnings Before Tax)</t>
  </si>
  <si>
    <t xml:space="preserve">    Cash Income Tax</t>
  </si>
  <si>
    <t>Net Income</t>
  </si>
  <si>
    <t>▌  EBITDA BRIDGE</t>
  </si>
  <si>
    <t xml:space="preserve">    (−) D&amp;A</t>
  </si>
  <si>
    <t>EBIT (check)</t>
  </si>
  <si>
    <t>▌  LEVERED FREE CASH FLOW</t>
  </si>
  <si>
    <t xml:space="preserve">    (−) Cash Interest Expense</t>
  </si>
  <si>
    <t xml:space="preserve">    (−) Cash Taxes</t>
  </si>
  <si>
    <t xml:space="preserve">    (−) Capital Expenditures</t>
  </si>
  <si>
    <t xml:space="preserve">    (±) Change in Net Working Capital</t>
  </si>
  <si>
    <t xml:space="preserve">    (+) Stock-Based Compensation (non-cash)</t>
  </si>
  <si>
    <t xml:space="preserve">    (+) Amortization of Intangibles (non-cash)</t>
  </si>
  <si>
    <t xml:space="preserve">    (−) Mandatory Debt Amortization</t>
  </si>
  <si>
    <t>Levered Free Cash Flow (LFCF)</t>
  </si>
  <si>
    <t xml:space="preserve">    (+) Beginning of Period Cash Balance</t>
  </si>
  <si>
    <t xml:space="preserve">    (−) Minimum Cash Balance</t>
  </si>
  <si>
    <t>Excess Cash Flow Available for Debt Repayment</t>
  </si>
  <si>
    <t>CPRX – Capital Structure &amp; Debt Schedule</t>
  </si>
  <si>
    <t>2025A (Entry)</t>
  </si>
  <si>
    <t>▌  REVOLVER</t>
  </si>
  <si>
    <t>Revolver – Beginning Balance</t>
  </si>
  <si>
    <t xml:space="preserve">    (+) Revolver Draws</t>
  </si>
  <si>
    <t xml:space="preserve">    (−) Revolver Repayments</t>
  </si>
  <si>
    <t>Revolver – Ending Balance</t>
  </si>
  <si>
    <t xml:space="preserve">    Revolver – Interest Expense</t>
  </si>
  <si>
    <t>▌  TERM LOAN B</t>
  </si>
  <si>
    <t>Term Loan B – Beginning Balance</t>
  </si>
  <si>
    <t xml:space="preserve">    (−) Mandatory Amortization (5%)</t>
  </si>
  <si>
    <t xml:space="preserve">    (−) Optional Cash Sweep</t>
  </si>
  <si>
    <t>Term Loan B – Ending Balance</t>
  </si>
  <si>
    <t xml:space="preserve">    Term Loan B – Interest Expense</t>
  </si>
  <si>
    <t>▌  PIK LOAN (Payment-in-Kind)</t>
  </si>
  <si>
    <t>PIK Loan – Beginning Balance</t>
  </si>
  <si>
    <t>PIK Loan – Ending Balance (incl. accrued PIK)</t>
  </si>
  <si>
    <t>▌  TOTAL DEBT &amp; LEVERAGE</t>
  </si>
  <si>
    <t>Total Debt (Ending)</t>
  </si>
  <si>
    <t>EBITDA (from LFCF sheet)</t>
  </si>
  <si>
    <t>Total Leverage (x)</t>
  </si>
  <si>
    <t>Max Leverage Covenant</t>
  </si>
  <si>
    <t>Covenant Breach (TRUE = Breach)</t>
  </si>
  <si>
    <t>▌  CASH SCHEDULE</t>
  </si>
  <si>
    <t>Cash – Beginning Balance</t>
  </si>
  <si>
    <t xml:space="preserve">    (+) Levered Free Cash Flow</t>
  </si>
  <si>
    <t xml:space="preserve">    (+) BB of Cash</t>
  </si>
  <si>
    <t xml:space="preserve">    (+) Net Revolver Activity</t>
  </si>
  <si>
    <t xml:space="preserve">    (−) Optional Cash Sweep (TL)</t>
  </si>
  <si>
    <t xml:space="preserve">    (−) Less Min Balance of Cash</t>
  </si>
  <si>
    <t>Cash – Ending Balance</t>
  </si>
  <si>
    <t>Net Debt (Ending)</t>
  </si>
  <si>
    <t>▌  INTEREST EXPENSE SUMMARY</t>
  </si>
  <si>
    <t>Total Cash Interest Expense</t>
  </si>
  <si>
    <t>PIK Interest (non-cash)</t>
  </si>
  <si>
    <t>Total Interest (Cash + PIK)</t>
  </si>
  <si>
    <t>CPRX – Returns Analysis  |  MOIC &amp; IRR</t>
  </si>
  <si>
    <t>All figures in $000s  |  5-Year Hold (2025–2030)</t>
  </si>
  <si>
    <t>▌  EXIT VALUATION (Base Case)</t>
  </si>
  <si>
    <t>Exit Multiple (x EV/EBITDA)</t>
  </si>
  <si>
    <t>Exit Year EBITDA ($000)</t>
  </si>
  <si>
    <t>Enterprise Value at Exit ($000)</t>
  </si>
  <si>
    <t>(−) Net Debt at Exit ($000)</t>
  </si>
  <si>
    <t>Equity Value at Exit ($000)</t>
  </si>
  <si>
    <t>▌  SPONSOR EQUITY ANALYSIS</t>
  </si>
  <si>
    <t>Initial Equity Investment ($000)</t>
  </si>
  <si>
    <t>Equity Proceeds at Exit ($000)</t>
  </si>
  <si>
    <t>MOIC (Money-on-Invested-Capital)</t>
  </si>
  <si>
    <t>IRR (Internal Rate of Return)</t>
  </si>
  <si>
    <t>Hold Period (Years)</t>
  </si>
  <si>
    <t>▌  MOIC SENSITIVITY TABLE  (Exit Multiple vs Revenue Growth)</t>
  </si>
  <si>
    <t>▌  IRR SENSITIVITY TABLE  (Exit Multiple vs Revenue Growth)</t>
  </si>
  <si>
    <t>IRR Helper (year 0)</t>
  </si>
  <si>
    <t>IRR Helper (years 1-4)</t>
  </si>
  <si>
    <t>IRR Helper (year 5)</t>
  </si>
  <si>
    <t>Sensitivity IRR Helpers</t>
  </si>
  <si>
    <t>CPRX – Value Creation Reconciliation &amp; Equity Waterfall</t>
  </si>
  <si>
    <t>All figures in $000s  |  Bridges Entry EV → Exit EV → Equity Returns</t>
  </si>
  <si>
    <t>▌  VALUE CREATION BRIDGE</t>
  </si>
  <si>
    <t>Component</t>
  </si>
  <si>
    <t>Amount ($000)</t>
  </si>
  <si>
    <t>% of Total Value Created</t>
  </si>
  <si>
    <t>Entry Enterprise Value</t>
  </si>
  <si>
    <t>Entry EV = EBITDA × Entry Multiple</t>
  </si>
  <si>
    <t>Exit Enterprise Value (Base Case)</t>
  </si>
  <si>
    <t>Exit EV = Exit EBITDA × Exit Multiple</t>
  </si>
  <si>
    <t>Total Value Created</t>
  </si>
  <si>
    <t>▌  VALUE CREATION ATTRIBUTION</t>
  </si>
  <si>
    <t>Driver</t>
  </si>
  <si>
    <t>Value ($000)</t>
  </si>
  <si>
    <t>% Contribution</t>
  </si>
  <si>
    <t>Description</t>
  </si>
  <si>
    <t>① EBITDA Growth</t>
  </si>
  <si>
    <t>Organic top-line &amp; margin expansion</t>
  </si>
  <si>
    <t>② Multiple Expansion / (Compression)</t>
  </si>
  <si>
    <t>Exit multiple vs entry multiple on exit EBITDA</t>
  </si>
  <si>
    <t>③ Debt Paydown (Deleveraging)</t>
  </si>
  <si>
    <t>Total Value Created (Check)</t>
  </si>
  <si>
    <t>▌  EQUITY WATERFALL DISTRIBUTION (Base Case)</t>
  </si>
  <si>
    <t>Distribution Tier</t>
  </si>
  <si>
    <t>Cumulative ($000)</t>
  </si>
  <si>
    <t>Total Exit Enterprise Value</t>
  </si>
  <si>
    <t>EV at exit</t>
  </si>
  <si>
    <t>(−) Revolver Repayment</t>
  </si>
  <si>
    <t>Senior secured; repaid first</t>
  </si>
  <si>
    <t>(−) Term Loan B Repayment</t>
  </si>
  <si>
    <t>First lien term loan</t>
  </si>
  <si>
    <t>(−) PIK Loan Repayment (incl. accrued interest)</t>
  </si>
  <si>
    <t>Remaining Value to Equity</t>
  </si>
  <si>
    <t>Post-debt proceeds</t>
  </si>
  <si>
    <t xml:space="preserve">  FLOOR Test (Min. Equity)</t>
  </si>
  <si>
    <t xml:space="preserve">  Sponsor Equity Return (above FLOOR)</t>
  </si>
  <si>
    <t>Sponsor captures residual</t>
  </si>
  <si>
    <t xml:space="preserve">  Management / Co-Investors (est. 10%)</t>
  </si>
  <si>
    <t>Carried interest / mgmt pool</t>
  </si>
  <si>
    <t>Sponsor Net Equity Proceeds</t>
  </si>
  <si>
    <t>Base case sponsor return</t>
  </si>
  <si>
    <t>▌  EQUITY RETURN SUMMARY</t>
  </si>
  <si>
    <t>Initial Equity Investment</t>
  </si>
  <si>
    <t>Equity Proceeds (Base)</t>
  </si>
  <si>
    <t>MOIC (Base Case)</t>
  </si>
  <si>
    <t>IRR (Base Case)</t>
  </si>
  <si>
    <t>MOIC (Bear Case)</t>
  </si>
  <si>
    <t>IRR (Bear Case)</t>
  </si>
  <si>
    <t>MOIC (Bull Case)</t>
  </si>
  <si>
    <t>IRR (Bull Case)</t>
  </si>
  <si>
    <t>MOIC, IRR, and Sensitivity tables</t>
  </si>
  <si>
    <t>Income Statement Projections &amp; Levered Free Cash Flow build</t>
  </si>
  <si>
    <t>Transaction assumptions, S&amp;U, Debt Terms, Operating Drivers</t>
  </si>
  <si>
    <t>Debt schedule: Revolver, TLB, PIK, Cash Sweep</t>
  </si>
  <si>
    <t>Value Creation Bridge &amp; Equity Waterfall</t>
  </si>
  <si>
    <t>Hardcoded Inputs / Assumptions (Changeable)</t>
  </si>
  <si>
    <t>Formulas &amp; Calculations (Do Not Overwrite)</t>
  </si>
  <si>
    <t>Cross-Sheet Linked Formulas</t>
  </si>
  <si>
    <t>Key Assumptions Needing Attention</t>
  </si>
  <si>
    <t>Key Outputs / Totals</t>
  </si>
  <si>
    <t>Value Creation</t>
  </si>
  <si>
    <t>Returns Analysis</t>
  </si>
  <si>
    <t>Capital Structure</t>
  </si>
  <si>
    <t>Levered FCFs</t>
  </si>
  <si>
    <t>Transaction Assumptions</t>
  </si>
  <si>
    <t xml:space="preserve">    (+) PIK Interest Accrual </t>
  </si>
  <si>
    <t>Cash on Balance Sheet at the FYE</t>
  </si>
  <si>
    <t>Refinancing Existing Debt</t>
  </si>
  <si>
    <t>8% IRR floor protection</t>
  </si>
  <si>
    <t>Interest Income (linked → Capital Structure)</t>
  </si>
  <si>
    <t>SOFR</t>
  </si>
  <si>
    <t>2027 Expectation</t>
  </si>
  <si>
    <t xml:space="preserve">Includes 5Y PIK accrual </t>
  </si>
  <si>
    <t>(+) Total Cash at Exit</t>
  </si>
  <si>
    <t xml:space="preserve">    (+) Cash Interest Income</t>
  </si>
  <si>
    <t>REVENUE GROWTH</t>
  </si>
  <si>
    <t>IRR</t>
  </si>
  <si>
    <t>MOIC</t>
  </si>
  <si>
    <t>BASE CASE DATA TABLE INPUT</t>
  </si>
  <si>
    <t>FCF and Cash used to repay debt; reduces EV capture by lenders [NET DEBT]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</si>
</sst>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\x;\(0.0&quot;x)&quot;;\-"/>
    <numFmt numFmtId="165" formatCode="\$#,##0;&quot;($&quot;#,##0\);\-"/>
    <numFmt numFmtId="166" formatCode="0.0%;\(0.0%\);\-"/>
    <numFmt numFmtId="167" formatCode="\$#,##0.00"/>
    <numFmt numFmtId="168" formatCode="0\y"/>
    <numFmt numFmtId="169" formatCode="0.0%"/>
    <numFmt numFmtId="170" formatCode="0.0"/>
  </numFmts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001F5B"/>
      <name val="Arial"/>
      <family val="2"/>
    </font>
    <font>
      <b/>
      <sz val="10"/>
      <color rgb="FF001F5B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4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808080"/>
      <name val="Arial"/>
      <family val="2"/>
    </font>
    <font>
      <sz val="10"/>
      <color rgb="FF001F5B"/>
      <name val="Arial"/>
      <family val="2"/>
    </font>
    <font>
      <b/>
      <sz val="10"/>
      <color rgb="FF595959"/>
      <name val="Arial"/>
      <family val="2"/>
    </font>
    <font>
      <sz val="10"/>
      <color rgb="FF59595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</font>
    <font>
      <sz val="11"/>
      <color rgb="FF0070C0"/>
      <name val="Calibri"/>
      <family val="2"/>
      <charset val="1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1F5B"/>
        <bgColor rgb="FF000080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theme="0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0000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133">
    <xf numFmtId="0" fontId="0" fillId="0" borderId="0" xfId="0"/>
    <xf numFmtId="0" fontId="5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4" fontId="6" fillId="4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left"/>
    </xf>
    <xf numFmtId="165" fontId="6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left"/>
    </xf>
    <xf numFmtId="165" fontId="6" fillId="4" borderId="0" xfId="0" applyNumberFormat="1" applyFont="1" applyFill="1" applyAlignment="1">
      <alignment horizontal="right"/>
    </xf>
    <xf numFmtId="164" fontId="6" fillId="6" borderId="0" xfId="0" applyNumberFormat="1" applyFont="1" applyFill="1" applyAlignment="1">
      <alignment horizontal="right"/>
    </xf>
    <xf numFmtId="166" fontId="6" fillId="6" borderId="0" xfId="0" applyNumberFormat="1" applyFont="1" applyFill="1" applyAlignment="1">
      <alignment horizontal="right"/>
    </xf>
    <xf numFmtId="166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6" fillId="4" borderId="0" xfId="0" applyNumberFormat="1" applyFont="1" applyFill="1" applyAlignment="1">
      <alignment horizontal="right"/>
    </xf>
    <xf numFmtId="166" fontId="6" fillId="5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left" vertical="center"/>
    </xf>
    <xf numFmtId="165" fontId="12" fillId="5" borderId="0" xfId="0" applyNumberFormat="1" applyFont="1" applyFill="1" applyAlignment="1">
      <alignment horizontal="right" vertical="center"/>
    </xf>
    <xf numFmtId="0" fontId="13" fillId="5" borderId="0" xfId="0" applyFont="1" applyFill="1" applyAlignment="1">
      <alignment horizontal="left" vertical="center"/>
    </xf>
    <xf numFmtId="165" fontId="12" fillId="4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4" fontId="12" fillId="4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/>
    </xf>
    <xf numFmtId="165" fontId="5" fillId="4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left"/>
    </xf>
    <xf numFmtId="165" fontId="6" fillId="6" borderId="0" xfId="0" applyNumberFormat="1" applyFont="1" applyFill="1" applyAlignment="1">
      <alignment horizontal="right"/>
    </xf>
    <xf numFmtId="0" fontId="14" fillId="5" borderId="0" xfId="0" applyFont="1" applyFill="1" applyAlignment="1">
      <alignment horizontal="left"/>
    </xf>
    <xf numFmtId="165" fontId="12" fillId="5" borderId="0" xfId="0" applyNumberFormat="1" applyFont="1" applyFill="1" applyAlignment="1">
      <alignment horizontal="right"/>
    </xf>
    <xf numFmtId="165" fontId="12" fillId="4" borderId="0" xfId="0" applyNumberFormat="1" applyFont="1" applyFill="1" applyAlignment="1">
      <alignment horizontal="right"/>
    </xf>
    <xf numFmtId="0" fontId="9" fillId="6" borderId="0" xfId="0" applyFont="1" applyFill="1" applyAlignment="1">
      <alignment horizontal="left" vertical="center"/>
    </xf>
    <xf numFmtId="165" fontId="5" fillId="6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left"/>
    </xf>
    <xf numFmtId="165" fontId="10" fillId="6" borderId="0" xfId="0" applyNumberFormat="1" applyFont="1" applyFill="1" applyAlignment="1">
      <alignment horizontal="right"/>
    </xf>
    <xf numFmtId="165" fontId="9" fillId="6" borderId="0" xfId="0" applyNumberFormat="1" applyFont="1" applyFill="1" applyAlignment="1">
      <alignment horizontal="right" vertical="center"/>
    </xf>
    <xf numFmtId="166" fontId="12" fillId="7" borderId="0" xfId="0" applyNumberFormat="1" applyFont="1" applyFill="1" applyAlignment="1">
      <alignment horizontal="right"/>
    </xf>
    <xf numFmtId="165" fontId="12" fillId="7" borderId="0" xfId="0" applyNumberFormat="1" applyFont="1" applyFill="1" applyAlignment="1">
      <alignment horizontal="right"/>
    </xf>
    <xf numFmtId="0" fontId="9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164" fontId="12" fillId="7" borderId="0" xfId="0" applyNumberFormat="1" applyFont="1" applyFill="1" applyAlignment="1">
      <alignment horizontal="right"/>
    </xf>
    <xf numFmtId="0" fontId="3" fillId="0" borderId="0" xfId="0" applyFont="1" applyAlignment="1">
      <alignment horizontal="left" vertical="center"/>
    </xf>
    <xf numFmtId="165" fontId="15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165" fontId="1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9" fillId="6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/>
    </xf>
    <xf numFmtId="165" fontId="7" fillId="4" borderId="0" xfId="0" applyNumberFormat="1" applyFont="1" applyFill="1" applyAlignment="1">
      <alignment horizontal="right"/>
    </xf>
    <xf numFmtId="165" fontId="9" fillId="4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vertical="center"/>
    </xf>
    <xf numFmtId="165" fontId="9" fillId="4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165" fontId="7" fillId="8" borderId="0" xfId="0" applyNumberFormat="1" applyFont="1" applyFill="1" applyAlignment="1">
      <alignment horizontal="right"/>
    </xf>
    <xf numFmtId="165" fontId="9" fillId="8" borderId="0" xfId="0" applyNumberFormat="1" applyFont="1" applyFill="1" applyAlignment="1">
      <alignment horizontal="right"/>
    </xf>
    <xf numFmtId="164" fontId="10" fillId="4" borderId="0" xfId="0" applyNumberFormat="1" applyFont="1" applyFill="1" applyAlignment="1">
      <alignment horizontal="right"/>
    </xf>
    <xf numFmtId="164" fontId="9" fillId="4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7" borderId="0" xfId="0" applyFont="1" applyFill="1" applyAlignment="1">
      <alignment horizontal="left" vertical="center"/>
    </xf>
    <xf numFmtId="49" fontId="6" fillId="7" borderId="0" xfId="0" applyNumberFormat="1" applyFont="1" applyFill="1" applyAlignment="1">
      <alignment horizontal="right"/>
    </xf>
    <xf numFmtId="49" fontId="5" fillId="7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left" vertical="center"/>
    </xf>
    <xf numFmtId="165" fontId="10" fillId="4" borderId="0" xfId="0" applyNumberFormat="1" applyFont="1" applyFill="1" applyAlignment="1">
      <alignment horizontal="right"/>
    </xf>
    <xf numFmtId="165" fontId="9" fillId="8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164" fontId="9" fillId="6" borderId="0" xfId="0" applyNumberFormat="1" applyFont="1" applyFill="1" applyAlignment="1">
      <alignment horizontal="right"/>
    </xf>
    <xf numFmtId="166" fontId="9" fillId="6" borderId="0" xfId="0" applyNumberFormat="1" applyFont="1" applyFill="1" applyAlignment="1">
      <alignment horizontal="right"/>
    </xf>
    <xf numFmtId="168" fontId="12" fillId="0" borderId="0" xfId="0" applyNumberFormat="1" applyFont="1" applyAlignment="1">
      <alignment horizontal="right"/>
    </xf>
    <xf numFmtId="165" fontId="0" fillId="0" borderId="0" xfId="0" applyNumberFormat="1"/>
    <xf numFmtId="166" fontId="5" fillId="0" borderId="0" xfId="0" applyNumberFormat="1" applyFont="1" applyAlignment="1">
      <alignment horizontal="right" vertical="center"/>
    </xf>
    <xf numFmtId="165" fontId="10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13" fillId="6" borderId="0" xfId="0" applyFont="1" applyFill="1"/>
    <xf numFmtId="165" fontId="5" fillId="5" borderId="0" xfId="0" applyNumberFormat="1" applyFont="1" applyFill="1" applyAlignment="1">
      <alignment horizontal="right" vertical="center"/>
    </xf>
    <xf numFmtId="0" fontId="13" fillId="5" borderId="0" xfId="0" applyFont="1" applyFill="1"/>
    <xf numFmtId="0" fontId="13" fillId="4" borderId="0" xfId="0" applyFont="1" applyFill="1"/>
    <xf numFmtId="165" fontId="6" fillId="4" borderId="0" xfId="0" applyNumberFormat="1" applyFont="1" applyFill="1" applyAlignment="1">
      <alignment horizontal="right" vertical="center"/>
    </xf>
    <xf numFmtId="165" fontId="6" fillId="5" borderId="0" xfId="0" applyNumberFormat="1" applyFont="1" applyFill="1" applyAlignment="1">
      <alignment horizontal="right" vertical="center"/>
    </xf>
    <xf numFmtId="164" fontId="10" fillId="6" borderId="0" xfId="0" applyNumberFormat="1" applyFont="1" applyFill="1" applyAlignment="1">
      <alignment horizontal="right" vertical="center"/>
    </xf>
    <xf numFmtId="166" fontId="10" fillId="6" borderId="0" xfId="0" applyNumberFormat="1" applyFont="1" applyFill="1" applyAlignment="1">
      <alignment horizontal="right" vertical="center"/>
    </xf>
    <xf numFmtId="1" fontId="12" fillId="5" borderId="0" xfId="0" applyNumberFormat="1" applyFont="1" applyFill="1" applyAlignment="1">
      <alignment horizontal="right" vertical="center"/>
    </xf>
    <xf numFmtId="165" fontId="12" fillId="10" borderId="0" xfId="0" applyNumberFormat="1" applyFont="1" applyFill="1" applyAlignment="1">
      <alignment horizontal="right" vertical="center"/>
    </xf>
    <xf numFmtId="0" fontId="5" fillId="10" borderId="0" xfId="0" applyFont="1" applyFill="1" applyAlignment="1">
      <alignment horizontal="left" vertical="center"/>
    </xf>
    <xf numFmtId="9" fontId="19" fillId="11" borderId="0" xfId="0" applyNumberFormat="1" applyFont="1" applyFill="1"/>
    <xf numFmtId="164" fontId="4" fillId="2" borderId="1" xfId="0" applyNumberFormat="1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169" fontId="4" fillId="2" borderId="1" xfId="1" applyNumberFormat="1" applyFont="1" applyFill="1" applyBorder="1" applyAlignment="1">
      <alignment horizontal="center" vertical="center"/>
    </xf>
    <xf numFmtId="169" fontId="20" fillId="12" borderId="0" xfId="0" applyNumberFormat="1" applyFont="1" applyFill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9" fontId="0" fillId="0" borderId="0" xfId="0" applyNumberFormat="1"/>
    <xf numFmtId="169" fontId="20" fillId="2" borderId="1" xfId="0" applyNumberFormat="1" applyFont="1" applyFill="1" applyBorder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9" fontId="21" fillId="0" borderId="0" xfId="1" applyFont="1" applyAlignment="1">
      <alignment horizontal="center" vertical="center"/>
    </xf>
    <xf numFmtId="169" fontId="21" fillId="0" borderId="0" xfId="0" applyNumberFormat="1" applyFont="1" applyAlignment="1">
      <alignment horizontal="center" vertical="center"/>
    </xf>
    <xf numFmtId="170" fontId="21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17" fillId="9" borderId="0" xfId="0" applyNumberFormat="1" applyFont="1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10" fontId="23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/>
    </xf>
    <xf numFmtId="10" fontId="17" fillId="9" borderId="0" xfId="0" applyNumberFormat="1" applyFont="1" applyFill="1" applyAlignment="1">
      <alignment horizontal="center"/>
    </xf>
    <xf numFmtId="10" fontId="4" fillId="2" borderId="1" xfId="0" applyNumberFormat="1" applyFont="1" applyFill="1" applyBorder="1" applyAlignment="1">
      <alignment horizontal="center" vertical="center"/>
    </xf>
    <xf numFmtId="10" fontId="20" fillId="12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22" fillId="12" borderId="0" xfId="0" applyFont="1" applyFill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70AD47"/>
      <rgbColor rgb="FFFFD700"/>
      <rgbColor rgb="FFFF9900"/>
      <rgbColor rgb="FFED7D31"/>
      <rgbColor rgb="FF595959"/>
      <rgbColor rgb="FF878787"/>
      <rgbColor rgb="FF001F5B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Value Creation Bridge (Base Case)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00480517410217"/>
          <c:y val="0.12715278273490851"/>
          <c:w val="0.69652478877729951"/>
          <c:h val="0.702652580483974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'Value Creation'!$B$11</c:f>
              <c:strCache>
                <c:ptCount val="1"/>
                <c:pt idx="0">
                  <c:v>Value ($000)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'Value Creation'!$A$12:$A$14</c:f>
              <c:strCache>
                <c:ptCount val="3"/>
                <c:pt idx="0">
                  <c:v>① EBITDA Growth</c:v>
                </c:pt>
                <c:pt idx="1">
                  <c:v>② Multiple Expansion / (Compression)</c:v>
                </c:pt>
                <c:pt idx="2">
                  <c:v>③ Debt Paydown (Deleveraging)</c:v>
                </c:pt>
              </c:strCache>
            </c:strRef>
          </c:cat>
          <c:val>
            <c:numRef>
              <c:f>'Value Creation'!$B$12:$B$14</c:f>
              <c:numCache>
                <c:formatCode>\$#,##0;"($"#,##0\);\-</c:formatCode>
                <c:ptCount val="3"/>
                <c:pt idx="0">
                  <c:v>2748238.8326519276</c:v>
                </c:pt>
                <c:pt idx="1">
                  <c:v>1495498.3064298858</c:v>
                </c:pt>
                <c:pt idx="2">
                  <c:v>1814092.7090942196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6-45B2-A998-E078F8E59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19298"/>
        <c:axId val="96873470"/>
      </c:barChart>
      <c:catAx>
        <c:axId val="74192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73470"/>
        <c:crosses val="autoZero"/>
        <c:auto val="1"/>
        <c:lblAlgn val="ctr"/>
        <c:lblOffset val="100"/>
        <c:noMultiLvlLbl val="0"/>
      </c:catAx>
      <c:valAx>
        <c:axId val="96873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$000s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92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Equity Waterfall – Exit Proceeds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'Value Creation'!$A$19:$A$28</c:f>
              <c:strCache>
                <c:ptCount val="10"/>
                <c:pt idx="0">
                  <c:v>Total Exit Enterprise Value</c:v>
                </c:pt>
                <c:pt idx="1">
                  <c:v>(−) Revolver Repayment</c:v>
                </c:pt>
                <c:pt idx="2">
                  <c:v>(−) Term Loan B Repayment</c:v>
                </c:pt>
                <c:pt idx="3">
                  <c:v>(−) PIK Loan Repayment (incl. accrued interest)</c:v>
                </c:pt>
                <c:pt idx="4">
                  <c:v>(+) Total Cash at Exit</c:v>
                </c:pt>
                <c:pt idx="5">
                  <c:v>Remaining Value to Equity</c:v>
                </c:pt>
                <c:pt idx="6">
                  <c:v>  FLOOR Test (Min. Equity)</c:v>
                </c:pt>
                <c:pt idx="7">
                  <c:v>  Sponsor Equity Return (above FLOOR)</c:v>
                </c:pt>
                <c:pt idx="8">
                  <c:v>  Management / Co-Investors (est. 10%)</c:v>
                </c:pt>
                <c:pt idx="9">
                  <c:v>Sponsor Net Equity Proceeds</c:v>
                </c:pt>
              </c:strCache>
            </c:strRef>
          </c:cat>
          <c:val>
            <c:numRef>
              <c:f>'Value Creation'!$B$19:$B$28</c:f>
              <c:numCache>
                <c:formatCode>\$#,##0;"($"#,##0\);\-</c:formatCode>
                <c:ptCount val="10"/>
                <c:pt idx="0">
                  <c:v>7037639.0890818126</c:v>
                </c:pt>
                <c:pt idx="1">
                  <c:v>0</c:v>
                </c:pt>
                <c:pt idx="2">
                  <c:v>0</c:v>
                </c:pt>
                <c:pt idx="3">
                  <c:v>-1519643.4597806188</c:v>
                </c:pt>
                <c:pt idx="4">
                  <c:v>2564652.1688748384</c:v>
                </c:pt>
                <c:pt idx="5">
                  <c:v>8082647.7981760325</c:v>
                </c:pt>
                <c:pt idx="6">
                  <c:v>-976020.20281299436</c:v>
                </c:pt>
                <c:pt idx="7">
                  <c:v>7106627.5953630377</c:v>
                </c:pt>
                <c:pt idx="8">
                  <c:v>-710662.75953630381</c:v>
                </c:pt>
                <c:pt idx="9">
                  <c:v>6395964.8358267341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F-4978-8EC2-E704B831F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237277"/>
        <c:axId val="95106422"/>
      </c:barChart>
      <c:catAx>
        <c:axId val="652372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$000s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06422"/>
        <c:crosses val="autoZero"/>
        <c:auto val="1"/>
        <c:lblAlgn val="ctr"/>
        <c:lblOffset val="100"/>
        <c:noMultiLvlLbl val="0"/>
      </c:catAx>
      <c:valAx>
        <c:axId val="951064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237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8</xdr:col>
      <xdr:colOff>853560</xdr:colOff>
      <xdr:row>53</xdr:row>
      <xdr:rowOff>126000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53</xdr:row>
      <xdr:rowOff>144780</xdr:rowOff>
    </xdr:from>
    <xdr:to>
      <xdr:col>8</xdr:col>
      <xdr:colOff>853560</xdr:colOff>
      <xdr:row>69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C55381-96C6-45FF-B06A-70D1AD8BD6DE}">
  <we:reference id="wa200008783" version="1.0.2.0" store="en-US" storeType="OMEX"/>
  <we:alternateReferences>
    <we:reference id="wa200008783" version="1.0.2.0" store="en-US" storeType="OMEX"/>
  </we:alternateReferences>
  <we:properties>
    <we:property name="Office.AutoShowTaskpaneWithDocument" value="false"/>
  </we:properties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Taskpane.Url"/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1F5B"/>
  </sheetPr>
  <dimension ref="A1:F34"/>
  <sheetViews>
    <sheetView showGridLines="0" topLeftCell="A4" zoomScaleNormal="100" workbookViewId="0">
      <selection activeCell="E11" sqref="E11"/>
    </sheetView>
  </sheetViews>
  <sheetFormatPr defaultColWidth="8.6640625" defaultRowHeight="14.4" x14ac:dyDescent="0.3"/>
  <cols>
    <col min="1" max="1" width="35" customWidth="1"/>
    <col min="2" max="3" width="18" customWidth="1"/>
    <col min="4" max="4" width="27" customWidth="1"/>
    <col min="5" max="5" width="22" customWidth="1"/>
    <col min="6" max="6" width="20.33203125" customWidth="1"/>
  </cols>
  <sheetData>
    <row r="1" spans="1:6" ht="31.5" customHeight="1" x14ac:dyDescent="0.3">
      <c r="A1" s="131" t="s">
        <v>0</v>
      </c>
      <c r="B1" s="131"/>
      <c r="C1" s="131"/>
      <c r="D1" s="131"/>
      <c r="E1" s="131"/>
    </row>
    <row r="2" spans="1:6" ht="13.5" customHeight="1" x14ac:dyDescent="0.3">
      <c r="A2" s="126" t="s">
        <v>1</v>
      </c>
      <c r="B2" s="126"/>
      <c r="C2" s="126"/>
      <c r="D2" s="126"/>
      <c r="E2" s="126"/>
    </row>
    <row r="4" spans="1:6" ht="15.75" customHeight="1" x14ac:dyDescent="0.3">
      <c r="A4" s="124" t="s">
        <v>2</v>
      </c>
      <c r="B4" s="124"/>
      <c r="C4" s="124"/>
      <c r="D4" s="124"/>
      <c r="E4" s="124"/>
    </row>
    <row r="5" spans="1:6" x14ac:dyDescent="0.3">
      <c r="A5" s="3" t="s">
        <v>3</v>
      </c>
      <c r="B5" s="3" t="s">
        <v>4</v>
      </c>
      <c r="C5" s="3"/>
      <c r="D5" s="3" t="s">
        <v>3</v>
      </c>
      <c r="E5" s="3" t="s">
        <v>4</v>
      </c>
    </row>
    <row r="6" spans="1:6" ht="15" customHeight="1" x14ac:dyDescent="0.3">
      <c r="A6" s="2" t="s">
        <v>5</v>
      </c>
      <c r="B6" s="4">
        <f>'Transaction Assumptions'!B9</f>
        <v>9.4499999999999993</v>
      </c>
      <c r="D6" s="5" t="s">
        <v>6</v>
      </c>
      <c r="E6" s="4">
        <f>'Returns Analysis'!E6</f>
        <v>12</v>
      </c>
    </row>
    <row r="7" spans="1:6" ht="15" customHeight="1" x14ac:dyDescent="0.3">
      <c r="A7" s="1" t="s">
        <v>7</v>
      </c>
      <c r="B7" s="6">
        <f>'Transaction Assumptions'!B10</f>
        <v>2793901.9499999997</v>
      </c>
      <c r="D7" s="7" t="s">
        <v>8</v>
      </c>
      <c r="E7" s="6">
        <f>'Returns Analysis'!E8</f>
        <v>7037639.0890818126</v>
      </c>
    </row>
    <row r="8" spans="1:6" ht="15" customHeight="1" x14ac:dyDescent="0.3">
      <c r="A8" s="2" t="s">
        <v>9</v>
      </c>
      <c r="B8" s="8">
        <f>'Transaction Assumptions'!B23</f>
        <v>664262.94999999972</v>
      </c>
      <c r="D8" s="5" t="s">
        <v>10</v>
      </c>
      <c r="E8" s="8">
        <f ca="1">'Returns Analysis'!E10</f>
        <v>8082647.7981760325</v>
      </c>
    </row>
    <row r="9" spans="1:6" ht="15" customHeight="1" x14ac:dyDescent="0.3">
      <c r="A9" s="1" t="s">
        <v>11</v>
      </c>
      <c r="B9" s="6">
        <f>5*'Transaction Assumptions'!B7</f>
        <v>1478255</v>
      </c>
      <c r="D9" s="7" t="s">
        <v>12</v>
      </c>
      <c r="E9" s="9">
        <f ca="1">'Returns Analysis'!E15</f>
        <v>12.167843770567117</v>
      </c>
    </row>
    <row r="10" spans="1:6" ht="15" customHeight="1" x14ac:dyDescent="0.3">
      <c r="A10" s="2" t="s">
        <v>13</v>
      </c>
      <c r="B10" s="4">
        <f>B9/'Transaction Assumptions'!B7</f>
        <v>5</v>
      </c>
      <c r="D10" s="5" t="s">
        <v>14</v>
      </c>
      <c r="E10" s="10">
        <f ca="1">'Returns Analysis'!E16</f>
        <v>0.64832454229445524</v>
      </c>
    </row>
    <row r="11" spans="1:6" ht="15" customHeight="1" x14ac:dyDescent="0.3">
      <c r="E11" s="11">
        <f ca="1">'Returns Analysis'!E16</f>
        <v>0.64832454229445524</v>
      </c>
    </row>
    <row r="12" spans="1:6" ht="15.75" customHeight="1" x14ac:dyDescent="0.3">
      <c r="A12" s="124" t="s">
        <v>15</v>
      </c>
      <c r="B12" s="124"/>
      <c r="C12" s="124"/>
      <c r="D12" s="124"/>
      <c r="E12" s="124"/>
    </row>
    <row r="13" spans="1:6" ht="18" customHeight="1" x14ac:dyDescent="0.3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</row>
    <row r="14" spans="1:6" ht="15" customHeight="1" x14ac:dyDescent="0.3">
      <c r="A14" s="2" t="s">
        <v>22</v>
      </c>
      <c r="B14" s="8">
        <f>'Levered FCFs'!G6</f>
        <v>659667.68000000005</v>
      </c>
      <c r="C14" s="12">
        <f>'Levered FCFs'!H6</f>
        <v>738827.80160000012</v>
      </c>
      <c r="D14" s="8">
        <f>'Levered FCFs'!I6</f>
        <v>827487.1377920002</v>
      </c>
      <c r="E14" s="12">
        <f>'Levered FCFs'!J6</f>
        <v>926785.59432704037</v>
      </c>
      <c r="F14" s="8">
        <f>'Levered FCFs'!K6</f>
        <v>1037999.8656462854</v>
      </c>
    </row>
    <row r="15" spans="1:6" ht="15" customHeight="1" x14ac:dyDescent="0.3">
      <c r="A15" s="1" t="s">
        <v>23</v>
      </c>
      <c r="B15" s="8">
        <f>'Levered FCFs'!G18</f>
        <v>372712.23919999995</v>
      </c>
      <c r="C15" s="12">
        <f>'Levered FCFs'!H18</f>
        <v>417437.70790400007</v>
      </c>
      <c r="D15" s="8">
        <f>'Levered FCFs'!I18</f>
        <v>467530.23285248003</v>
      </c>
      <c r="E15" s="12">
        <f>'Levered FCFs'!J18</f>
        <v>523633.86079477781</v>
      </c>
      <c r="F15" s="8">
        <f>'Levered FCFs'!K18</f>
        <v>586469.92409015109</v>
      </c>
    </row>
    <row r="16" spans="1:6" ht="15" customHeight="1" x14ac:dyDescent="0.3">
      <c r="A16" s="2" t="s">
        <v>24</v>
      </c>
      <c r="B16" s="13">
        <f>IFERROR('Levered FCFs'!G18/'Levered FCFs'!G6,0)</f>
        <v>0.56499999999999984</v>
      </c>
      <c r="C16" s="14">
        <f>IFERROR('Levered FCFs'!H18/'Levered FCFs'!H6,0)</f>
        <v>0.56499999999999995</v>
      </c>
      <c r="D16" s="13">
        <f>IFERROR('Levered FCFs'!I18/'Levered FCFs'!I6,0)</f>
        <v>0.56499999999999995</v>
      </c>
      <c r="E16" s="14">
        <f>IFERROR('Levered FCFs'!J18/'Levered FCFs'!J6,0)</f>
        <v>0.56499999999999995</v>
      </c>
      <c r="F16" s="13">
        <f>IFERROR('Levered FCFs'!K18/'Levered FCFs'!K6,0)</f>
        <v>0.56499999999999984</v>
      </c>
    </row>
    <row r="17" spans="1:6" ht="15" customHeight="1" x14ac:dyDescent="0.3">
      <c r="A17" s="1" t="s">
        <v>25</v>
      </c>
      <c r="B17" s="8">
        <f ca="1">'Levered FCFs'!G31</f>
        <v>321717.13832728</v>
      </c>
      <c r="C17" s="6">
        <f ca="1">'Levered FCFs'!H31</f>
        <v>424389.34596011456</v>
      </c>
      <c r="D17" s="8">
        <f ca="1">'Levered FCFs'!I31</f>
        <v>489017.97321952123</v>
      </c>
      <c r="E17" s="6">
        <f ca="1">'Levered FCFs'!J31</f>
        <v>554341.33963951445</v>
      </c>
      <c r="F17" s="8">
        <f ca="1">'Levered FCFs'!K31</f>
        <v>627752.27172666788</v>
      </c>
    </row>
    <row r="18" spans="1:6" ht="15" customHeight="1" x14ac:dyDescent="0.3">
      <c r="A18" s="2" t="s">
        <v>26</v>
      </c>
      <c r="B18" s="8">
        <f ca="1">'Capital Structure'!C22</f>
        <v>987799.55610000005</v>
      </c>
      <c r="C18" s="12">
        <f ca="1">'Capital Structure'!D22</f>
        <v>1100112.3656285701</v>
      </c>
      <c r="D18" s="8">
        <f ca="1">'Capital Structure'!E22</f>
        <v>1225195.1416005385</v>
      </c>
      <c r="E18" s="12">
        <f ca="1">'Capital Structure'!F22</f>
        <v>1364499.8292005197</v>
      </c>
      <c r="F18" s="8">
        <f ca="1">'Capital Structure'!G22</f>
        <v>1519643.4597806188</v>
      </c>
    </row>
    <row r="19" spans="1:6" ht="15" customHeight="1" x14ac:dyDescent="0.3">
      <c r="A19" s="1" t="s">
        <v>27</v>
      </c>
      <c r="B19" s="4">
        <f ca="1">'Capital Structure'!C24</f>
        <v>2.6503008278457418</v>
      </c>
      <c r="C19" s="15">
        <f ca="1">'Capital Structure'!D24</f>
        <v>2.6353928856891091</v>
      </c>
      <c r="D19" s="4">
        <f ca="1">'Capital Structure'!E24</f>
        <v>2.6205688007071082</v>
      </c>
      <c r="E19" s="15">
        <f ca="1">'Capital Structure'!F24</f>
        <v>2.6058281012031297</v>
      </c>
      <c r="F19" s="4">
        <f ca="1">'Capital Structure'!G24</f>
        <v>2.5911703181338623</v>
      </c>
    </row>
    <row r="21" spans="1:6" ht="15.75" customHeight="1" x14ac:dyDescent="0.3">
      <c r="A21" s="124" t="s">
        <v>28</v>
      </c>
      <c r="B21" s="124"/>
      <c r="C21" s="124"/>
      <c r="D21" s="124"/>
      <c r="E21" s="124"/>
    </row>
    <row r="22" spans="1:6" ht="15" customHeight="1" x14ac:dyDescent="0.3">
      <c r="A22" s="16" t="s">
        <v>265</v>
      </c>
      <c r="B22" s="129" t="s">
        <v>253</v>
      </c>
      <c r="C22" s="129"/>
      <c r="D22" s="129"/>
      <c r="E22" s="129"/>
    </row>
    <row r="23" spans="1:6" ht="15" customHeight="1" x14ac:dyDescent="0.3">
      <c r="A23" s="17" t="s">
        <v>264</v>
      </c>
      <c r="B23" s="130" t="s">
        <v>252</v>
      </c>
      <c r="C23" s="130"/>
      <c r="D23" s="130"/>
      <c r="E23" s="130"/>
    </row>
    <row r="24" spans="1:6" ht="15" customHeight="1" x14ac:dyDescent="0.3">
      <c r="A24" s="16" t="s">
        <v>263</v>
      </c>
      <c r="B24" s="129" t="s">
        <v>254</v>
      </c>
      <c r="C24" s="129"/>
      <c r="D24" s="129"/>
      <c r="E24" s="129"/>
    </row>
    <row r="25" spans="1:6" ht="15" customHeight="1" x14ac:dyDescent="0.3">
      <c r="A25" s="17" t="s">
        <v>262</v>
      </c>
      <c r="B25" s="130" t="s">
        <v>251</v>
      </c>
      <c r="C25" s="130"/>
      <c r="D25" s="130"/>
      <c r="E25" s="130"/>
    </row>
    <row r="26" spans="1:6" ht="15" customHeight="1" x14ac:dyDescent="0.3">
      <c r="A26" s="16" t="s">
        <v>261</v>
      </c>
      <c r="B26" s="129" t="s">
        <v>255</v>
      </c>
      <c r="C26" s="129"/>
      <c r="D26" s="129"/>
      <c r="E26" s="129"/>
    </row>
    <row r="29" spans="1:6" ht="15.75" customHeight="1" x14ac:dyDescent="0.3">
      <c r="A29" s="124" t="s">
        <v>29</v>
      </c>
      <c r="B29" s="124"/>
      <c r="C29" s="124"/>
      <c r="D29" s="124"/>
      <c r="E29" s="124"/>
    </row>
    <row r="30" spans="1:6" ht="15" customHeight="1" x14ac:dyDescent="0.3">
      <c r="A30" s="18" t="s">
        <v>30</v>
      </c>
      <c r="B30" s="127" t="s">
        <v>256</v>
      </c>
      <c r="C30" s="127"/>
      <c r="D30" s="127"/>
      <c r="E30" s="127"/>
    </row>
    <row r="31" spans="1:6" ht="15" customHeight="1" x14ac:dyDescent="0.3">
      <c r="A31" s="19" t="s">
        <v>31</v>
      </c>
      <c r="B31" s="128" t="s">
        <v>257</v>
      </c>
      <c r="C31" s="128"/>
      <c r="D31" s="128"/>
      <c r="E31" s="128"/>
    </row>
    <row r="32" spans="1:6" ht="15" customHeight="1" x14ac:dyDescent="0.3">
      <c r="A32" s="20" t="s">
        <v>32</v>
      </c>
      <c r="B32" s="127" t="s">
        <v>258</v>
      </c>
      <c r="C32" s="127"/>
      <c r="D32" s="127"/>
      <c r="E32" s="127"/>
    </row>
    <row r="33" spans="1:5" ht="15" customHeight="1" x14ac:dyDescent="0.3">
      <c r="A33" s="19" t="s">
        <v>33</v>
      </c>
      <c r="B33" s="128" t="s">
        <v>259</v>
      </c>
      <c r="C33" s="128"/>
      <c r="D33" s="128"/>
      <c r="E33" s="128"/>
    </row>
    <row r="34" spans="1:5" ht="15" customHeight="1" x14ac:dyDescent="0.3">
      <c r="A34" s="21" t="s">
        <v>34</v>
      </c>
      <c r="B34" s="127" t="s">
        <v>260</v>
      </c>
      <c r="C34" s="127"/>
      <c r="D34" s="127"/>
      <c r="E34" s="127"/>
    </row>
  </sheetData>
  <mergeCells count="16">
    <mergeCell ref="A1:E1"/>
    <mergeCell ref="A2:E2"/>
    <mergeCell ref="A4:E4"/>
    <mergeCell ref="A12:E12"/>
    <mergeCell ref="A21:E21"/>
    <mergeCell ref="B22:E22"/>
    <mergeCell ref="B23:E23"/>
    <mergeCell ref="B24:E24"/>
    <mergeCell ref="B25:E25"/>
    <mergeCell ref="B26:E26"/>
    <mergeCell ref="B34:E34"/>
    <mergeCell ref="A29:E29"/>
    <mergeCell ref="B30:E30"/>
    <mergeCell ref="B31:E31"/>
    <mergeCell ref="B32:E32"/>
    <mergeCell ref="B33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E50"/>
  <sheetViews>
    <sheetView showGridLines="0" zoomScaleNormal="100" workbookViewId="0">
      <pane ySplit="3" topLeftCell="A24" activePane="bottomLeft" state="frozen"/>
      <selection pane="bottomLeft" activeCell="B29" sqref="B29"/>
    </sheetView>
  </sheetViews>
  <sheetFormatPr defaultColWidth="8.6640625" defaultRowHeight="14.4" x14ac:dyDescent="0.3"/>
  <cols>
    <col min="1" max="1" width="38" customWidth="1"/>
    <col min="2" max="3" width="18" customWidth="1"/>
    <col min="4" max="4" width="30.5546875" customWidth="1"/>
    <col min="5" max="5" width="18" customWidth="1"/>
  </cols>
  <sheetData>
    <row r="1" spans="1:5" ht="27.75" customHeight="1" x14ac:dyDescent="0.3">
      <c r="A1" s="125" t="s">
        <v>35</v>
      </c>
      <c r="B1" s="125"/>
      <c r="C1" s="125"/>
      <c r="D1" s="125"/>
      <c r="E1" s="125"/>
    </row>
    <row r="2" spans="1:5" ht="13.5" customHeight="1" x14ac:dyDescent="0.3">
      <c r="A2" s="132" t="s">
        <v>36</v>
      </c>
      <c r="B2" s="132"/>
      <c r="C2" s="132"/>
      <c r="D2" s="132"/>
      <c r="E2" s="132"/>
    </row>
    <row r="4" spans="1:5" ht="15.75" customHeight="1" x14ac:dyDescent="0.3">
      <c r="A4" s="124" t="s">
        <v>37</v>
      </c>
      <c r="B4" s="124"/>
      <c r="C4" s="124"/>
      <c r="D4" s="124"/>
      <c r="E4" s="124"/>
    </row>
    <row r="5" spans="1:5" ht="15" customHeight="1" x14ac:dyDescent="0.3">
      <c r="A5" s="2" t="s">
        <v>38</v>
      </c>
      <c r="B5" s="22" t="s">
        <v>39</v>
      </c>
      <c r="D5" s="23" t="s">
        <v>40</v>
      </c>
    </row>
    <row r="6" spans="1:5" ht="15" customHeight="1" x14ac:dyDescent="0.3">
      <c r="A6" s="1" t="s">
        <v>41</v>
      </c>
      <c r="B6" s="24">
        <v>588989</v>
      </c>
      <c r="D6" s="25" t="s">
        <v>42</v>
      </c>
    </row>
    <row r="7" spans="1:5" ht="15" customHeight="1" x14ac:dyDescent="0.3">
      <c r="A7" s="2" t="s">
        <v>43</v>
      </c>
      <c r="B7" s="26">
        <v>295651</v>
      </c>
      <c r="D7" s="23" t="s">
        <v>42</v>
      </c>
    </row>
    <row r="8" spans="1:5" ht="15" customHeight="1" x14ac:dyDescent="0.3">
      <c r="A8" s="1" t="s">
        <v>44</v>
      </c>
      <c r="B8" s="27">
        <f>B7/B6</f>
        <v>0.5019635341237273</v>
      </c>
      <c r="D8" s="25" t="s">
        <v>45</v>
      </c>
    </row>
    <row r="9" spans="1:5" ht="15" customHeight="1" x14ac:dyDescent="0.3">
      <c r="A9" s="2" t="s">
        <v>46</v>
      </c>
      <c r="B9" s="28">
        <f>9.45</f>
        <v>9.4499999999999993</v>
      </c>
      <c r="D9" s="23" t="s">
        <v>47</v>
      </c>
    </row>
    <row r="10" spans="1:5" ht="15" customHeight="1" x14ac:dyDescent="0.3">
      <c r="A10" s="1" t="s">
        <v>48</v>
      </c>
      <c r="B10" s="29">
        <f>B7*B9</f>
        <v>2793901.9499999997</v>
      </c>
      <c r="D10" s="25" t="s">
        <v>49</v>
      </c>
    </row>
    <row r="11" spans="1:5" ht="15" customHeight="1" x14ac:dyDescent="0.3">
      <c r="A11" s="2" t="s">
        <v>50</v>
      </c>
      <c r="B11" s="26">
        <v>709171</v>
      </c>
      <c r="D11" s="23" t="s">
        <v>42</v>
      </c>
    </row>
    <row r="12" spans="1:5" ht="15" customHeight="1" x14ac:dyDescent="0.3">
      <c r="A12" s="1" t="s">
        <v>51</v>
      </c>
      <c r="B12" s="24">
        <v>2787</v>
      </c>
      <c r="D12" s="25" t="s">
        <v>42</v>
      </c>
    </row>
    <row r="13" spans="1:5" ht="15" customHeight="1" x14ac:dyDescent="0.3">
      <c r="A13" s="2" t="s">
        <v>52</v>
      </c>
      <c r="B13" s="30">
        <f>B10+B11-B12</f>
        <v>3500285.9499999997</v>
      </c>
      <c r="D13" s="23" t="s">
        <v>53</v>
      </c>
    </row>
    <row r="14" spans="1:5" ht="15" customHeight="1" x14ac:dyDescent="0.3">
      <c r="A14" s="1" t="s">
        <v>54</v>
      </c>
      <c r="B14" s="92">
        <v>122514</v>
      </c>
      <c r="D14" s="25" t="s">
        <v>42</v>
      </c>
    </row>
    <row r="15" spans="1:5" ht="15" customHeight="1" x14ac:dyDescent="0.3">
      <c r="A15" s="2" t="s">
        <v>55</v>
      </c>
      <c r="B15" s="31">
        <f>B13/B14</f>
        <v>28.570497657410581</v>
      </c>
    </row>
    <row r="17" spans="1:5" ht="15.75" customHeight="1" x14ac:dyDescent="0.3">
      <c r="A17" s="124" t="s">
        <v>56</v>
      </c>
      <c r="B17" s="124"/>
      <c r="C17" s="124"/>
      <c r="D17" s="124"/>
      <c r="E17" s="124"/>
    </row>
    <row r="18" spans="1:5" ht="18" customHeight="1" x14ac:dyDescent="0.3">
      <c r="A18" s="3" t="s">
        <v>57</v>
      </c>
      <c r="B18" s="3" t="s">
        <v>58</v>
      </c>
      <c r="C18" s="3"/>
      <c r="D18" s="3" t="s">
        <v>59</v>
      </c>
      <c r="E18" s="3" t="s">
        <v>58</v>
      </c>
    </row>
    <row r="19" spans="1:5" ht="15" customHeight="1" x14ac:dyDescent="0.3">
      <c r="A19" s="94" t="s">
        <v>60</v>
      </c>
      <c r="B19" s="93">
        <v>0</v>
      </c>
      <c r="D19" s="32" t="s">
        <v>61</v>
      </c>
      <c r="E19" s="33">
        <f>B10</f>
        <v>2793901.9499999997</v>
      </c>
    </row>
    <row r="20" spans="1:5" ht="15" customHeight="1" x14ac:dyDescent="0.3">
      <c r="A20" s="2" t="s">
        <v>267</v>
      </c>
      <c r="B20" s="26">
        <f>B11</f>
        <v>709171</v>
      </c>
      <c r="D20" s="32" t="s">
        <v>268</v>
      </c>
      <c r="E20" s="33">
        <f>B12</f>
        <v>2787</v>
      </c>
    </row>
    <row r="21" spans="1:5" ht="15" customHeight="1" x14ac:dyDescent="0.3">
      <c r="A21" s="1" t="s">
        <v>62</v>
      </c>
      <c r="B21" s="24">
        <f>Summary!B9*2/5</f>
        <v>591302</v>
      </c>
      <c r="D21" s="34" t="s">
        <v>63</v>
      </c>
      <c r="E21" s="35">
        <v>40000</v>
      </c>
    </row>
    <row r="22" spans="1:5" ht="15" customHeight="1" x14ac:dyDescent="0.3">
      <c r="A22" s="2" t="s">
        <v>64</v>
      </c>
      <c r="B22" s="26">
        <f>Summary!B9*3/5</f>
        <v>886953</v>
      </c>
      <c r="D22" s="32" t="s">
        <v>65</v>
      </c>
      <c r="E22" s="36">
        <v>15000</v>
      </c>
    </row>
    <row r="23" spans="1:5" ht="15" customHeight="1" x14ac:dyDescent="0.3">
      <c r="A23" s="37" t="s">
        <v>66</v>
      </c>
      <c r="B23" s="38">
        <f>E23-B19-B20-B21-B22</f>
        <v>664262.94999999972</v>
      </c>
      <c r="D23" s="39" t="s">
        <v>67</v>
      </c>
      <c r="E23" s="40">
        <f>SUM(E19:E22)</f>
        <v>2851688.9499999997</v>
      </c>
    </row>
    <row r="24" spans="1:5" ht="15" customHeight="1" x14ac:dyDescent="0.3">
      <c r="A24" s="37" t="s">
        <v>68</v>
      </c>
      <c r="B24" s="41">
        <f>SUM(B19:B23)</f>
        <v>2851688.9499999997</v>
      </c>
    </row>
    <row r="26" spans="1:5" ht="15.75" customHeight="1" x14ac:dyDescent="0.3">
      <c r="A26" s="124" t="s">
        <v>69</v>
      </c>
      <c r="B26" s="124"/>
      <c r="C26" s="124"/>
      <c r="D26" s="124"/>
      <c r="E26" s="124"/>
    </row>
    <row r="27" spans="1:5" ht="18" customHeight="1" x14ac:dyDescent="0.3">
      <c r="A27" s="3" t="s">
        <v>70</v>
      </c>
      <c r="B27" s="3" t="s">
        <v>4</v>
      </c>
      <c r="C27" s="3" t="s">
        <v>71</v>
      </c>
      <c r="D27" s="3"/>
      <c r="E27" s="3"/>
    </row>
    <row r="28" spans="1:5" ht="15" customHeight="1" x14ac:dyDescent="0.3">
      <c r="A28" s="2" t="s">
        <v>72</v>
      </c>
      <c r="B28" s="42">
        <v>0.12</v>
      </c>
      <c r="C28" s="23" t="s">
        <v>73</v>
      </c>
    </row>
    <row r="29" spans="1:5" ht="15" customHeight="1" x14ac:dyDescent="0.3">
      <c r="A29" s="1" t="s">
        <v>74</v>
      </c>
      <c r="B29" s="42">
        <v>0.83</v>
      </c>
      <c r="C29" s="25" t="s">
        <v>75</v>
      </c>
    </row>
    <row r="30" spans="1:5" ht="15" customHeight="1" x14ac:dyDescent="0.3">
      <c r="A30" s="2" t="s">
        <v>76</v>
      </c>
      <c r="B30" s="42">
        <v>0.32900000000000001</v>
      </c>
      <c r="C30" s="23" t="s">
        <v>77</v>
      </c>
    </row>
    <row r="31" spans="1:5" ht="15" customHeight="1" x14ac:dyDescent="0.3">
      <c r="A31" s="1" t="s">
        <v>78</v>
      </c>
      <c r="B31" s="42">
        <v>6.4000000000000001E-2</v>
      </c>
      <c r="C31" s="25" t="s">
        <v>79</v>
      </c>
    </row>
    <row r="32" spans="1:5" ht="15" customHeight="1" x14ac:dyDescent="0.3">
      <c r="A32" s="2" t="s">
        <v>80</v>
      </c>
      <c r="B32" s="42">
        <v>5.0000000000000001E-3</v>
      </c>
      <c r="C32" s="23" t="s">
        <v>81</v>
      </c>
    </row>
    <row r="33" spans="1:5" ht="15" customHeight="1" x14ac:dyDescent="0.3">
      <c r="A33" s="1" t="s">
        <v>82</v>
      </c>
      <c r="B33" s="42">
        <v>0.24399999999999999</v>
      </c>
      <c r="C33" s="25" t="s">
        <v>83</v>
      </c>
    </row>
    <row r="34" spans="1:5" ht="15" customHeight="1" x14ac:dyDescent="0.3">
      <c r="A34" s="2" t="s">
        <v>84</v>
      </c>
      <c r="B34" s="42">
        <v>2.5000000000000001E-2</v>
      </c>
      <c r="C34" s="23" t="s">
        <v>85</v>
      </c>
    </row>
    <row r="35" spans="1:5" ht="15" customHeight="1" x14ac:dyDescent="0.3">
      <c r="A35" s="1" t="s">
        <v>86</v>
      </c>
      <c r="B35" s="43">
        <v>37498</v>
      </c>
      <c r="C35" s="25" t="s">
        <v>87</v>
      </c>
    </row>
    <row r="36" spans="1:5" ht="15" customHeight="1" x14ac:dyDescent="0.3">
      <c r="A36" s="2" t="s">
        <v>88</v>
      </c>
      <c r="B36" s="43">
        <v>24778</v>
      </c>
      <c r="C36" s="23" t="s">
        <v>89</v>
      </c>
    </row>
    <row r="37" spans="1:5" x14ac:dyDescent="0.3">
      <c r="A37" s="1" t="s">
        <v>271</v>
      </c>
      <c r="B37" s="95">
        <v>0.04</v>
      </c>
      <c r="C37" s="25" t="s">
        <v>272</v>
      </c>
    </row>
    <row r="38" spans="1:5" ht="15.75" customHeight="1" x14ac:dyDescent="0.3">
      <c r="A38" s="124" t="s">
        <v>90</v>
      </c>
      <c r="B38" s="124"/>
      <c r="C38" s="124"/>
      <c r="D38" s="124"/>
      <c r="E38" s="124"/>
    </row>
    <row r="39" spans="1:5" ht="18" customHeight="1" x14ac:dyDescent="0.3">
      <c r="A39" s="3" t="s">
        <v>91</v>
      </c>
      <c r="B39" s="3" t="s">
        <v>92</v>
      </c>
      <c r="C39" s="3" t="s">
        <v>93</v>
      </c>
      <c r="D39" s="3" t="s">
        <v>94</v>
      </c>
      <c r="E39" s="3" t="s">
        <v>71</v>
      </c>
    </row>
    <row r="40" spans="1:5" ht="15" customHeight="1" x14ac:dyDescent="0.3">
      <c r="A40" s="44" t="s">
        <v>95</v>
      </c>
      <c r="B40" s="43">
        <f>B7*0.93015</f>
        <v>274999.77765</v>
      </c>
      <c r="C40" s="42">
        <f>7.5%</f>
        <v>7.4999999999999997E-2</v>
      </c>
      <c r="D40" s="42">
        <v>0</v>
      </c>
      <c r="E40" s="23" t="s">
        <v>96</v>
      </c>
    </row>
    <row r="41" spans="1:5" ht="15" customHeight="1" x14ac:dyDescent="0.3">
      <c r="A41" s="45" t="s">
        <v>62</v>
      </c>
      <c r="B41" s="43">
        <f>B21</f>
        <v>591302</v>
      </c>
      <c r="C41" s="42">
        <f>3.87%+3.75%</f>
        <v>7.619999999999999E-2</v>
      </c>
      <c r="D41" s="42">
        <v>0.05</v>
      </c>
      <c r="E41" s="25" t="s">
        <v>97</v>
      </c>
    </row>
    <row r="42" spans="1:5" ht="15" customHeight="1" x14ac:dyDescent="0.3">
      <c r="A42" s="44" t="s">
        <v>64</v>
      </c>
      <c r="B42" s="43">
        <f>B22</f>
        <v>886953</v>
      </c>
      <c r="C42" s="42">
        <f>3.87%+7.5%</f>
        <v>0.1137</v>
      </c>
      <c r="D42" s="42">
        <v>1</v>
      </c>
      <c r="E42" s="23" t="s">
        <v>98</v>
      </c>
    </row>
    <row r="43" spans="1:5" ht="15" customHeight="1" x14ac:dyDescent="0.3">
      <c r="A43" s="1" t="s">
        <v>99</v>
      </c>
      <c r="B43" s="43">
        <f>E21</f>
        <v>40000</v>
      </c>
      <c r="E43" s="25" t="s">
        <v>100</v>
      </c>
    </row>
    <row r="44" spans="1:5" ht="15" customHeight="1" x14ac:dyDescent="0.3">
      <c r="A44" s="2" t="s">
        <v>101</v>
      </c>
      <c r="B44" s="46">
        <v>7</v>
      </c>
      <c r="E44" s="23" t="s">
        <v>102</v>
      </c>
    </row>
    <row r="46" spans="1:5" ht="15.75" customHeight="1" x14ac:dyDescent="0.3">
      <c r="A46" s="124" t="s">
        <v>103</v>
      </c>
      <c r="B46" s="124"/>
      <c r="C46" s="124"/>
      <c r="D46" s="124"/>
      <c r="E46" s="124"/>
    </row>
    <row r="47" spans="1:5" ht="18" customHeight="1" x14ac:dyDescent="0.3">
      <c r="A47" s="3" t="s">
        <v>70</v>
      </c>
      <c r="B47" s="3" t="s">
        <v>104</v>
      </c>
      <c r="C47" s="3" t="s">
        <v>105</v>
      </c>
      <c r="D47" s="3" t="s">
        <v>106</v>
      </c>
      <c r="E47" s="3" t="s">
        <v>71</v>
      </c>
    </row>
    <row r="48" spans="1:5" ht="15" customHeight="1" x14ac:dyDescent="0.3">
      <c r="A48" s="2" t="s">
        <v>107</v>
      </c>
      <c r="B48" s="43">
        <v>2030</v>
      </c>
      <c r="C48" s="43">
        <v>2030</v>
      </c>
      <c r="D48" s="43">
        <v>2030</v>
      </c>
      <c r="E48" s="23" t="s">
        <v>108</v>
      </c>
    </row>
    <row r="49" spans="1:5" ht="15" customHeight="1" x14ac:dyDescent="0.3">
      <c r="A49" s="1" t="s">
        <v>109</v>
      </c>
      <c r="B49" s="46">
        <v>10</v>
      </c>
      <c r="C49" s="46">
        <v>12</v>
      </c>
      <c r="D49" s="46">
        <v>14</v>
      </c>
      <c r="E49" s="25" t="s">
        <v>110</v>
      </c>
    </row>
    <row r="50" spans="1:5" ht="15" customHeight="1" x14ac:dyDescent="0.3">
      <c r="A50" s="2" t="s">
        <v>111</v>
      </c>
      <c r="E50" s="23" t="s">
        <v>112</v>
      </c>
    </row>
  </sheetData>
  <mergeCells count="7">
    <mergeCell ref="A38:E38"/>
    <mergeCell ref="A46:E46"/>
    <mergeCell ref="A1:E1"/>
    <mergeCell ref="A2:E2"/>
    <mergeCell ref="A4:E4"/>
    <mergeCell ref="A17:E17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L34"/>
  <sheetViews>
    <sheetView showGridLines="0" zoomScaleNormal="10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K6" sqref="K6"/>
    </sheetView>
  </sheetViews>
  <sheetFormatPr defaultColWidth="8.6640625" defaultRowHeight="14.4" x14ac:dyDescent="0.3"/>
  <cols>
    <col min="1" max="1" width="40" customWidth="1"/>
    <col min="2" max="13" width="14" customWidth="1"/>
  </cols>
  <sheetData>
    <row r="1" spans="1:12" ht="27.75" customHeight="1" x14ac:dyDescent="0.3">
      <c r="A1" s="125" t="s">
        <v>113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3.5" customHeight="1" x14ac:dyDescent="0.3">
      <c r="A2" s="126" t="s">
        <v>114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4" spans="1:12" ht="19.5" customHeight="1" x14ac:dyDescent="0.3">
      <c r="A4" s="3"/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1:12" ht="15.75" customHeight="1" x14ac:dyDescent="0.3">
      <c r="A5" s="124" t="s">
        <v>120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</row>
    <row r="6" spans="1:12" ht="15" customHeight="1" x14ac:dyDescent="0.3">
      <c r="A6" s="47" t="s">
        <v>22</v>
      </c>
      <c r="B6" s="48">
        <v>140833</v>
      </c>
      <c r="C6" s="48">
        <v>214203</v>
      </c>
      <c r="D6" s="48">
        <v>398204</v>
      </c>
      <c r="E6" s="48">
        <v>491734</v>
      </c>
      <c r="F6" s="48">
        <v>588989</v>
      </c>
      <c r="G6" s="49">
        <f>F6*(1+'Returns Analysis'!$K$21)</f>
        <v>659667.68000000005</v>
      </c>
      <c r="H6" s="49">
        <f>G6*(1+'Returns Analysis'!$K$21)</f>
        <v>738827.80160000012</v>
      </c>
      <c r="I6" s="49">
        <f>H6*(1+'Returns Analysis'!$K$21)</f>
        <v>827487.1377920002</v>
      </c>
      <c r="J6" s="49">
        <f>I6*(1+'Returns Analysis'!$K$21)</f>
        <v>926785.59432704037</v>
      </c>
      <c r="K6" s="49">
        <f>J6*(1+'Returns Analysis'!$K$21)</f>
        <v>1037999.8656462854</v>
      </c>
    </row>
    <row r="7" spans="1:12" ht="15" customHeight="1" x14ac:dyDescent="0.3">
      <c r="A7" s="50" t="s">
        <v>121</v>
      </c>
      <c r="B7" s="51">
        <v>-38820</v>
      </c>
      <c r="C7" s="51">
        <v>-54182</v>
      </c>
      <c r="D7" s="51">
        <v>-145117</v>
      </c>
      <c r="E7" s="51">
        <v>-81493</v>
      </c>
      <c r="F7" s="51">
        <v>-99962</v>
      </c>
      <c r="G7" s="52">
        <f>-(G6*(1-'Transaction Assumptions'!B29))</f>
        <v>-112143.50560000003</v>
      </c>
      <c r="H7" s="52">
        <f>-(H6*(1-'Transaction Assumptions'!B29))</f>
        <v>-125600.72627200004</v>
      </c>
      <c r="I7" s="52">
        <f>-(I6*(1-'Transaction Assumptions'!B29))</f>
        <v>-140672.81342464007</v>
      </c>
      <c r="J7" s="52">
        <f>-(J6*(1-'Transaction Assumptions'!B29))</f>
        <v>-157553.5510355969</v>
      </c>
      <c r="K7" s="52">
        <f>-(K6*(1-'Transaction Assumptions'!B29))</f>
        <v>-176459.97715986855</v>
      </c>
    </row>
    <row r="8" spans="1:12" ht="15" customHeight="1" x14ac:dyDescent="0.3">
      <c r="A8" s="47" t="s">
        <v>122</v>
      </c>
      <c r="B8" s="48">
        <v>102013</v>
      </c>
      <c r="C8" s="48">
        <v>160021</v>
      </c>
      <c r="D8" s="48">
        <v>253087</v>
      </c>
      <c r="E8" s="48">
        <v>410241</v>
      </c>
      <c r="F8" s="48">
        <v>489027</v>
      </c>
      <c r="G8" s="53">
        <f>G6+G7</f>
        <v>547524.17440000002</v>
      </c>
      <c r="H8" s="53">
        <f t="shared" ref="H8:K8" si="0">H6+H7</f>
        <v>613227.07532800012</v>
      </c>
      <c r="I8" s="53">
        <f t="shared" si="0"/>
        <v>686814.3243673601</v>
      </c>
      <c r="J8" s="53">
        <f t="shared" si="0"/>
        <v>769232.04329144349</v>
      </c>
      <c r="K8" s="53">
        <f t="shared" si="0"/>
        <v>861539.88848641678</v>
      </c>
    </row>
    <row r="9" spans="1:12" ht="15" customHeight="1" x14ac:dyDescent="0.3">
      <c r="A9" s="50" t="s">
        <v>123</v>
      </c>
      <c r="B9" s="51">
        <v>-49628</v>
      </c>
      <c r="C9" s="51">
        <v>-57085</v>
      </c>
      <c r="D9" s="51">
        <v>-133710</v>
      </c>
      <c r="E9" s="51">
        <v>-177740</v>
      </c>
      <c r="F9" s="51">
        <v>-193751</v>
      </c>
      <c r="G9" s="52">
        <f>-G6*'Transaction Assumptions'!B30</f>
        <v>-217030.66672000004</v>
      </c>
      <c r="H9" s="52">
        <f>-H6*'Transaction Assumptions'!B30</f>
        <v>-243074.34672640005</v>
      </c>
      <c r="I9" s="52">
        <f>-I6*'Transaction Assumptions'!B30</f>
        <v>-272243.26833356806</v>
      </c>
      <c r="J9" s="52">
        <f>-J6*'Transaction Assumptions'!B30</f>
        <v>-304912.46053359628</v>
      </c>
      <c r="K9" s="52">
        <f>-K6*'Transaction Assumptions'!B30</f>
        <v>-341501.95579762792</v>
      </c>
    </row>
    <row r="10" spans="1:12" ht="15" customHeight="1" x14ac:dyDescent="0.3">
      <c r="A10" s="50" t="s">
        <v>124</v>
      </c>
      <c r="B10" s="51">
        <v>0</v>
      </c>
      <c r="C10" s="51">
        <v>-1098</v>
      </c>
      <c r="D10" s="51">
        <v>-32565</v>
      </c>
      <c r="E10" s="51">
        <v>-37377</v>
      </c>
      <c r="F10" s="51">
        <v>-37498</v>
      </c>
      <c r="G10" s="52">
        <f>-'Transaction Assumptions'!B35</f>
        <v>-37498</v>
      </c>
      <c r="H10" s="52">
        <f>G10</f>
        <v>-37498</v>
      </c>
      <c r="I10" s="52">
        <f t="shared" ref="I10:K10" si="1">H10</f>
        <v>-37498</v>
      </c>
      <c r="J10" s="52">
        <f t="shared" si="1"/>
        <v>-37498</v>
      </c>
      <c r="K10" s="52">
        <f t="shared" si="1"/>
        <v>-37498</v>
      </c>
    </row>
    <row r="11" spans="1:12" ht="15" customHeight="1" x14ac:dyDescent="0.3">
      <c r="A11" s="47" t="s">
        <v>125</v>
      </c>
      <c r="B11" s="48">
        <v>52385</v>
      </c>
      <c r="C11" s="48">
        <v>101838</v>
      </c>
      <c r="D11" s="48">
        <v>86812</v>
      </c>
      <c r="E11" s="48">
        <v>195124</v>
      </c>
      <c r="F11" s="48">
        <v>257778</v>
      </c>
      <c r="G11" s="53">
        <f>G8+G9+G10</f>
        <v>292995.50767999998</v>
      </c>
      <c r="H11" s="53">
        <f>H8+H9+H10</f>
        <v>332654.72860160004</v>
      </c>
      <c r="I11" s="53">
        <f>I8+I9+I10</f>
        <v>377073.05603379203</v>
      </c>
      <c r="J11" s="53">
        <f>J8+J9+J10</f>
        <v>426821.58275784721</v>
      </c>
      <c r="K11" s="53">
        <f>K8+K9+K10</f>
        <v>482539.93268878886</v>
      </c>
    </row>
    <row r="12" spans="1:12" ht="15" customHeight="1" x14ac:dyDescent="0.3">
      <c r="A12" s="54" t="s">
        <v>126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5">
        <f ca="1">-'Capital Structure'!C39</f>
        <v>-123375.1623</v>
      </c>
      <c r="H12" s="55">
        <f ca="1">-'Capital Structure'!D39</f>
        <v>-112312.80952857</v>
      </c>
      <c r="I12" s="55">
        <f ca="1">-'Capital Structure'!E39</f>
        <v>-125082.77597196841</v>
      </c>
      <c r="J12" s="55">
        <f ca="1">-'Capital Structure'!F39</f>
        <v>-139304.68759998123</v>
      </c>
      <c r="K12" s="55">
        <f ca="1">-'Capital Structure'!G39</f>
        <v>-155143.6305800991</v>
      </c>
    </row>
    <row r="13" spans="1:12" ht="15" customHeight="1" x14ac:dyDescent="0.3">
      <c r="A13" s="54" t="s">
        <v>270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5">
        <v>0</v>
      </c>
      <c r="H13" s="55">
        <f ca="1">AVERAGE('Capital Structure'!C34,'Capital Structure'!D34)*'Transaction Assumptions'!B37</f>
        <v>27253.83645229349</v>
      </c>
      <c r="I13" s="55">
        <f ca="1">AVERAGE('Capital Structure'!D34,'Capital Structure'!E34)*'Transaction Assumptions'!B37</f>
        <v>45521.982835886207</v>
      </c>
      <c r="J13" s="55">
        <f ca="1">AVERAGE('Capital Structure'!E34,'Capital Structure'!F34)*'Transaction Assumptions'!B37</f>
        <v>66389.169093067147</v>
      </c>
      <c r="K13" s="55">
        <f ca="1">AVERAGE('Capital Structure'!F34,'Capital Structure'!G34)*'Transaction Assumptions'!B37</f>
        <v>90031.041320425589</v>
      </c>
    </row>
    <row r="14" spans="1:12" ht="15" customHeight="1" x14ac:dyDescent="0.3">
      <c r="A14" s="47" t="s">
        <v>127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1">
        <f ca="1">G11+G12</f>
        <v>169620.34537999998</v>
      </c>
      <c r="H14" s="41">
        <f ca="1">H11+H12+H13</f>
        <v>247595.75552532356</v>
      </c>
      <c r="I14" s="41">
        <f ca="1">I11+I12</f>
        <v>251990.28006182361</v>
      </c>
      <c r="J14" s="41">
        <f ca="1">J11+J12</f>
        <v>287516.89515786595</v>
      </c>
      <c r="K14" s="41">
        <f ca="1">K11+K12</f>
        <v>327396.30210868979</v>
      </c>
    </row>
    <row r="15" spans="1:12" ht="15" customHeight="1" x14ac:dyDescent="0.3">
      <c r="A15" s="50" t="s">
        <v>128</v>
      </c>
      <c r="B15" s="51">
        <v>13185</v>
      </c>
      <c r="C15" s="51">
        <v>21640</v>
      </c>
      <c r="D15" s="51">
        <v>23101</v>
      </c>
      <c r="E15" s="51">
        <v>52374</v>
      </c>
      <c r="F15" s="51">
        <v>69189</v>
      </c>
      <c r="G15" s="56">
        <f ca="1">-MAX(0,G14*'Transaction Assumptions'!B33)</f>
        <v>-41387.364272719999</v>
      </c>
      <c r="H15" s="56">
        <f ca="1">-MAX(0,H14*'Transaction Assumptions'!B33)</f>
        <v>-60413.364348178948</v>
      </c>
      <c r="I15" s="56">
        <f ca="1">-MAX(0,I14*'Transaction Assumptions'!B33)</f>
        <v>-61485.628335084955</v>
      </c>
      <c r="J15" s="56">
        <f ca="1">-MAX(0,J14*'Transaction Assumptions'!B33)</f>
        <v>-70154.122418519284</v>
      </c>
      <c r="K15" s="56">
        <f ca="1">-MAX(0,K14*'Transaction Assumptions'!B33)</f>
        <v>-79884.697714520313</v>
      </c>
    </row>
    <row r="16" spans="1:12" ht="15" customHeight="1" x14ac:dyDescent="0.3">
      <c r="A16" s="47" t="s">
        <v>129</v>
      </c>
      <c r="B16" s="48">
        <v>39482</v>
      </c>
      <c r="C16" s="48">
        <v>83079</v>
      </c>
      <c r="D16" s="48">
        <v>71410</v>
      </c>
      <c r="E16" s="48">
        <v>163889</v>
      </c>
      <c r="F16" s="48">
        <v>214326</v>
      </c>
      <c r="G16" s="41">
        <f ca="1">G14+G15</f>
        <v>128232.98110727998</v>
      </c>
      <c r="H16" s="41">
        <f ca="1">H14+H15</f>
        <v>187182.3911771446</v>
      </c>
      <c r="I16" s="41">
        <f ca="1">I14+I15</f>
        <v>190504.65172673867</v>
      </c>
      <c r="J16" s="41">
        <f ca="1">J14+J15</f>
        <v>217362.77273934666</v>
      </c>
      <c r="K16" s="41">
        <f ca="1">K14+K15</f>
        <v>247511.60439416947</v>
      </c>
    </row>
    <row r="17" spans="1:11" ht="15.75" customHeight="1" x14ac:dyDescent="0.3">
      <c r="A17" s="124" t="s">
        <v>130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</row>
    <row r="18" spans="1:11" ht="15" customHeight="1" x14ac:dyDescent="0.3">
      <c r="A18" s="47" t="s">
        <v>23</v>
      </c>
      <c r="B18" s="48">
        <v>52577</v>
      </c>
      <c r="C18" s="48">
        <v>103077</v>
      </c>
      <c r="D18" s="48">
        <v>119693</v>
      </c>
      <c r="E18" s="48">
        <v>232898</v>
      </c>
      <c r="F18" s="48">
        <v>295651</v>
      </c>
      <c r="G18" s="41">
        <f>G11-G10+G6*'Transaction Assumptions'!B31</f>
        <v>372712.23919999995</v>
      </c>
      <c r="H18" s="41">
        <f>H11-H10+H6*'Transaction Assumptions'!B31</f>
        <v>417437.70790400007</v>
      </c>
      <c r="I18" s="41">
        <f>I11-I10+I6*'Transaction Assumptions'!B31</f>
        <v>467530.23285248003</v>
      </c>
      <c r="J18" s="41">
        <f>J11-J10+J6*'Transaction Assumptions'!B31</f>
        <v>523633.86079477781</v>
      </c>
      <c r="K18" s="41">
        <f>K11-K10+K6*'Transaction Assumptions'!B31</f>
        <v>586469.92409015109</v>
      </c>
    </row>
    <row r="19" spans="1:11" ht="15" customHeight="1" x14ac:dyDescent="0.3">
      <c r="A19" s="50" t="s">
        <v>131</v>
      </c>
      <c r="B19" s="51">
        <v>-192</v>
      </c>
      <c r="C19" s="51">
        <v>-1239</v>
      </c>
      <c r="D19" s="51">
        <v>-32881</v>
      </c>
      <c r="E19" s="51">
        <v>-37774</v>
      </c>
      <c r="F19" s="51">
        <v>-37873</v>
      </c>
      <c r="G19" s="52">
        <f>-(G6*'Transaction Assumptions'!B31+'Transaction Assumptions'!B35)</f>
        <v>-79716.731520000001</v>
      </c>
      <c r="H19" s="52">
        <f>-(H6*'Transaction Assumptions'!B31+'Transaction Assumptions'!B35)</f>
        <v>-84782.97930240001</v>
      </c>
      <c r="I19" s="52">
        <f>-(I6*'Transaction Assumptions'!B31+'Transaction Assumptions'!B35)</f>
        <v>-90457.176818688022</v>
      </c>
      <c r="J19" s="52">
        <f>-(J6*'Transaction Assumptions'!B31+'Transaction Assumptions'!B35)</f>
        <v>-96812.278036930584</v>
      </c>
      <c r="K19" s="52">
        <f>-(K6*'Transaction Assumptions'!B31+'Transaction Assumptions'!B35)</f>
        <v>-103929.99140136226</v>
      </c>
    </row>
    <row r="20" spans="1:11" ht="15" customHeight="1" x14ac:dyDescent="0.3">
      <c r="A20" s="50" t="s">
        <v>132</v>
      </c>
      <c r="B20" s="51">
        <v>52385</v>
      </c>
      <c r="C20" s="51">
        <v>101838</v>
      </c>
      <c r="D20" s="51">
        <v>86812</v>
      </c>
      <c r="E20" s="51">
        <v>195124</v>
      </c>
      <c r="F20" s="51">
        <v>257778</v>
      </c>
      <c r="G20" s="52">
        <f>G18+G19</f>
        <v>292995.50767999992</v>
      </c>
      <c r="H20" s="52">
        <f>H18+H19</f>
        <v>332654.72860160004</v>
      </c>
      <c r="I20" s="52">
        <f>I18+I19</f>
        <v>377073.05603379197</v>
      </c>
      <c r="J20" s="52">
        <f>J18+J19</f>
        <v>426821.58275784721</v>
      </c>
      <c r="K20" s="52">
        <f>K18+K19</f>
        <v>482539.93268878886</v>
      </c>
    </row>
    <row r="21" spans="1:11" ht="15.75" customHeight="1" x14ac:dyDescent="0.3">
      <c r="A21" s="124" t="s">
        <v>133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</row>
    <row r="22" spans="1:11" ht="15" customHeight="1" x14ac:dyDescent="0.3">
      <c r="A22" s="50" t="s">
        <v>23</v>
      </c>
      <c r="B22" s="51">
        <v>52577</v>
      </c>
      <c r="C22" s="51">
        <v>103077</v>
      </c>
      <c r="D22" s="51">
        <v>119693</v>
      </c>
      <c r="E22" s="51">
        <v>232898</v>
      </c>
      <c r="F22" s="51">
        <v>295651</v>
      </c>
      <c r="G22" s="55">
        <f>G18</f>
        <v>372712.23919999995</v>
      </c>
      <c r="H22" s="55">
        <f>H18</f>
        <v>417437.70790400007</v>
      </c>
      <c r="I22" s="55">
        <f>I18</f>
        <v>467530.23285248003</v>
      </c>
      <c r="J22" s="55">
        <f>J18</f>
        <v>523633.86079477781</v>
      </c>
      <c r="K22" s="55">
        <f>K18</f>
        <v>586469.92409015109</v>
      </c>
    </row>
    <row r="23" spans="1:11" ht="15" customHeight="1" x14ac:dyDescent="0.3">
      <c r="A23" s="50" t="s">
        <v>275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5">
        <v>0</v>
      </c>
      <c r="H23" s="55">
        <f ca="1">H13</f>
        <v>27253.83645229349</v>
      </c>
      <c r="I23" s="55">
        <f ca="1">I13</f>
        <v>45521.982835886207</v>
      </c>
      <c r="J23" s="55">
        <f ca="1">J13</f>
        <v>66389.169093067147</v>
      </c>
      <c r="K23" s="55">
        <f ca="1">K13</f>
        <v>90031.041320425589</v>
      </c>
    </row>
    <row r="24" spans="1:11" ht="15" customHeight="1" x14ac:dyDescent="0.3">
      <c r="A24" s="50" t="s">
        <v>134</v>
      </c>
      <c r="B24" s="51">
        <v>0</v>
      </c>
      <c r="C24" s="51">
        <v>0</v>
      </c>
      <c r="D24" s="51">
        <v>705</v>
      </c>
      <c r="E24" s="51">
        <v>1395</v>
      </c>
      <c r="F24" s="51">
        <v>466</v>
      </c>
      <c r="G24" s="55">
        <f ca="1">-'Capital Structure'!C37</f>
        <v>-22528.606199999998</v>
      </c>
      <c r="H24" s="55">
        <f ca="1">-'Capital Structure'!D37</f>
        <v>0</v>
      </c>
      <c r="I24" s="55">
        <f ca="1">-'Capital Structure'!E37</f>
        <v>0</v>
      </c>
      <c r="J24" s="55">
        <f ca="1">-'Capital Structure'!F37</f>
        <v>0</v>
      </c>
      <c r="K24" s="55">
        <f ca="1">-'Capital Structure'!G37</f>
        <v>0</v>
      </c>
    </row>
    <row r="25" spans="1:11" ht="15" customHeight="1" x14ac:dyDescent="0.3">
      <c r="A25" s="50" t="s">
        <v>135</v>
      </c>
      <c r="B25" s="51">
        <v>3000</v>
      </c>
      <c r="C25" s="51">
        <v>7667</v>
      </c>
      <c r="D25" s="51">
        <v>50458</v>
      </c>
      <c r="E25" s="51">
        <v>68451</v>
      </c>
      <c r="F25" s="51">
        <v>71986</v>
      </c>
      <c r="G25" s="56">
        <f ca="1">G15</f>
        <v>-41387.364272719999</v>
      </c>
      <c r="H25" s="56">
        <f ca="1">H15</f>
        <v>-60413.364348178948</v>
      </c>
      <c r="I25" s="56">
        <f ca="1">I15</f>
        <v>-61485.628335084955</v>
      </c>
      <c r="J25" s="56">
        <f ca="1">J15</f>
        <v>-70154.122418519284</v>
      </c>
      <c r="K25" s="56">
        <f ca="1">K15</f>
        <v>-79884.697714520313</v>
      </c>
    </row>
    <row r="26" spans="1:11" ht="15" customHeight="1" x14ac:dyDescent="0.3">
      <c r="A26" s="50" t="s">
        <v>136</v>
      </c>
      <c r="B26" s="51">
        <v>-1021</v>
      </c>
      <c r="C26" s="51">
        <v>-10029</v>
      </c>
      <c r="D26" s="51">
        <v>-198524</v>
      </c>
      <c r="E26" s="51">
        <v>-556</v>
      </c>
      <c r="F26" s="51">
        <v>-58</v>
      </c>
      <c r="G26" s="56">
        <f>-G6*'Transaction Assumptions'!B32</f>
        <v>-3298.3384000000005</v>
      </c>
      <c r="H26" s="56">
        <f>-H6*'Transaction Assumptions'!B32</f>
        <v>-3694.1390080000006</v>
      </c>
      <c r="I26" s="56">
        <f>-I6*'Transaction Assumptions'!B32</f>
        <v>-4137.4356889600012</v>
      </c>
      <c r="J26" s="56">
        <f>-J6*'Transaction Assumptions'!B32</f>
        <v>-4633.9279716352021</v>
      </c>
      <c r="K26" s="56">
        <f>-K6*'Transaction Assumptions'!B32</f>
        <v>-5189.9993282314272</v>
      </c>
    </row>
    <row r="27" spans="1:11" ht="15" customHeight="1" x14ac:dyDescent="0.3">
      <c r="A27" s="50" t="s">
        <v>137</v>
      </c>
      <c r="B27" s="51">
        <v>4154</v>
      </c>
      <c r="C27" s="51">
        <v>26925</v>
      </c>
      <c r="D27" s="51">
        <v>-40839</v>
      </c>
      <c r="E27" s="51">
        <v>20219</v>
      </c>
      <c r="F27" s="51">
        <v>-52364</v>
      </c>
      <c r="G27" s="56">
        <f>-G6*'Transaction Assumptions'!B34</f>
        <v>-16491.692000000003</v>
      </c>
      <c r="H27" s="56">
        <f>-H6*'Transaction Assumptions'!B34</f>
        <v>-18470.695040000002</v>
      </c>
      <c r="I27" s="56">
        <f>-I6*'Transaction Assumptions'!B34</f>
        <v>-20687.178444800007</v>
      </c>
      <c r="J27" s="56">
        <f>-J6*'Transaction Assumptions'!B34</f>
        <v>-23169.639858176011</v>
      </c>
      <c r="K27" s="56">
        <f>-K6*'Transaction Assumptions'!B34</f>
        <v>-25949.996641157137</v>
      </c>
    </row>
    <row r="28" spans="1:11" ht="15" customHeight="1" x14ac:dyDescent="0.3">
      <c r="A28" s="50" t="s">
        <v>138</v>
      </c>
      <c r="B28" s="51">
        <v>6073</v>
      </c>
      <c r="C28" s="51">
        <v>7907</v>
      </c>
      <c r="D28" s="51">
        <v>14250</v>
      </c>
      <c r="E28" s="51">
        <v>22251</v>
      </c>
      <c r="F28" s="51">
        <v>24778</v>
      </c>
      <c r="G28" s="55">
        <f>'Transaction Assumptions'!B36</f>
        <v>24778</v>
      </c>
      <c r="H28" s="55">
        <f>'Transaction Assumptions'!B36</f>
        <v>24778</v>
      </c>
      <c r="I28" s="55">
        <f>'Transaction Assumptions'!B36</f>
        <v>24778</v>
      </c>
      <c r="J28" s="55">
        <f>'Transaction Assumptions'!B36</f>
        <v>24778</v>
      </c>
      <c r="K28" s="55">
        <f>'Transaction Assumptions'!B36</f>
        <v>24778</v>
      </c>
    </row>
    <row r="29" spans="1:11" ht="15" customHeight="1" x14ac:dyDescent="0.3">
      <c r="A29" s="50" t="s">
        <v>139</v>
      </c>
      <c r="B29" s="51">
        <v>0</v>
      </c>
      <c r="C29" s="51">
        <v>1098</v>
      </c>
      <c r="D29" s="51">
        <v>32565</v>
      </c>
      <c r="E29" s="51">
        <v>37377</v>
      </c>
      <c r="F29" s="51">
        <v>37498</v>
      </c>
      <c r="G29" s="55">
        <f>'Transaction Assumptions'!B35</f>
        <v>37498</v>
      </c>
      <c r="H29" s="55">
        <f>'Transaction Assumptions'!B35</f>
        <v>37498</v>
      </c>
      <c r="I29" s="55">
        <f>'Transaction Assumptions'!B35</f>
        <v>37498</v>
      </c>
      <c r="J29" s="55">
        <f>'Transaction Assumptions'!B35</f>
        <v>37498</v>
      </c>
      <c r="K29" s="55">
        <f>'Transaction Assumptions'!B35</f>
        <v>37498</v>
      </c>
    </row>
    <row r="30" spans="1:11" ht="15" customHeight="1" x14ac:dyDescent="0.3">
      <c r="A30" s="50" t="s">
        <v>140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5">
        <f>'Capital Structure'!C13</f>
        <v>-29565.100000000002</v>
      </c>
      <c r="H30" s="55">
        <f ca="1">'Capital Structure'!D13</f>
        <v>0</v>
      </c>
      <c r="I30" s="55">
        <f ca="1">'Capital Structure'!E13</f>
        <v>0</v>
      </c>
      <c r="J30" s="55">
        <f ca="1">'Capital Structure'!F13</f>
        <v>0</v>
      </c>
      <c r="K30" s="55">
        <f ca="1">'Capital Structure'!G13</f>
        <v>0</v>
      </c>
    </row>
    <row r="31" spans="1:11" ht="15" customHeight="1" x14ac:dyDescent="0.3">
      <c r="A31" s="47" t="s">
        <v>141</v>
      </c>
      <c r="B31" s="48">
        <v>42139</v>
      </c>
      <c r="C31" s="48">
        <v>89691</v>
      </c>
      <c r="D31" s="48">
        <v>-219488</v>
      </c>
      <c r="E31" s="48">
        <v>201641</v>
      </c>
      <c r="F31" s="48">
        <v>171340</v>
      </c>
      <c r="G31" s="41">
        <f ca="1">G22+G23+G24+G25+G26+G27+G28+G29+G30</f>
        <v>321717.13832728</v>
      </c>
      <c r="H31" s="41">
        <f t="shared" ref="H31:K31" ca="1" si="2">H22+H23+H24+H25+H26+H27+H28+H29+H30</f>
        <v>424389.34596011456</v>
      </c>
      <c r="I31" s="41">
        <f t="shared" ca="1" si="2"/>
        <v>489017.97321952123</v>
      </c>
      <c r="J31" s="41">
        <f t="shared" ca="1" si="2"/>
        <v>554341.33963951445</v>
      </c>
      <c r="K31" s="41">
        <f t="shared" ca="1" si="2"/>
        <v>627752.27172666788</v>
      </c>
    </row>
    <row r="32" spans="1:11" ht="15" customHeight="1" x14ac:dyDescent="0.3">
      <c r="A32" s="50" t="s">
        <v>142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5">
        <f>'Capital Structure'!C28</f>
        <v>709171</v>
      </c>
      <c r="H32" s="55">
        <f ca="1">'Capital Structure'!D28</f>
        <v>469151.23832728004</v>
      </c>
      <c r="I32" s="55">
        <f ca="1">'Capital Structure'!E28</f>
        <v>893540.58428739454</v>
      </c>
      <c r="J32" s="55">
        <f ca="1">'Capital Structure'!F28</f>
        <v>1382558.5575069175</v>
      </c>
      <c r="K32" s="55">
        <f ca="1">'Capital Structure'!G28</f>
        <v>1936899.8971468867</v>
      </c>
    </row>
    <row r="33" spans="1:11" ht="15" customHeight="1" x14ac:dyDescent="0.3">
      <c r="A33" s="50" t="s">
        <v>143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5">
        <f>-'Transaction Assumptions'!E21</f>
        <v>-40000</v>
      </c>
      <c r="H33" s="55">
        <f>G33</f>
        <v>-40000</v>
      </c>
      <c r="I33" s="55">
        <f t="shared" ref="I33:K33" si="3">H33</f>
        <v>-40000</v>
      </c>
      <c r="J33" s="55">
        <f t="shared" si="3"/>
        <v>-40000</v>
      </c>
      <c r="K33" s="55">
        <f t="shared" si="3"/>
        <v>-40000</v>
      </c>
    </row>
    <row r="34" spans="1:11" ht="15" customHeight="1" x14ac:dyDescent="0.3">
      <c r="A34" s="47" t="s">
        <v>144</v>
      </c>
      <c r="B34" s="48">
        <v>0</v>
      </c>
      <c r="C34" s="48">
        <v>0</v>
      </c>
      <c r="D34" s="48">
        <v>0</v>
      </c>
      <c r="E34" s="48">
        <v>0</v>
      </c>
      <c r="F34" s="48">
        <v>0</v>
      </c>
      <c r="G34" s="41">
        <f ca="1">G31+G32+G33</f>
        <v>990888.13832728006</v>
      </c>
      <c r="H34" s="41">
        <f ca="1">H31+H32+H33</f>
        <v>853540.58428739454</v>
      </c>
      <c r="I34" s="41">
        <f ca="1">I31+I32+I33</f>
        <v>1342558.5575069156</v>
      </c>
      <c r="J34" s="41">
        <f ca="1">J31+J32+J33</f>
        <v>1896899.897146432</v>
      </c>
      <c r="K34" s="41">
        <f ca="1">K31+K32+K33</f>
        <v>2524652.1688735546</v>
      </c>
    </row>
  </sheetData>
  <mergeCells count="5">
    <mergeCell ref="A1:L1"/>
    <mergeCell ref="A2:L2"/>
    <mergeCell ref="A5:K5"/>
    <mergeCell ref="A17:K17"/>
    <mergeCell ref="A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L39"/>
  <sheetViews>
    <sheetView showGridLines="0" tabSelected="1" zoomScaleNormal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G35" sqref="G35"/>
    </sheetView>
  </sheetViews>
  <sheetFormatPr defaultColWidth="8.6640625" defaultRowHeight="14.4" x14ac:dyDescent="0.3"/>
  <cols>
    <col min="1" max="1" width="44" customWidth="1"/>
    <col min="2" max="13" width="14" customWidth="1"/>
  </cols>
  <sheetData>
    <row r="1" spans="1:12" ht="27.75" customHeight="1" x14ac:dyDescent="0.3">
      <c r="A1" s="125" t="s">
        <v>145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3.5" customHeight="1" x14ac:dyDescent="0.3">
      <c r="A2" s="126" t="s">
        <v>114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4" spans="1:12" ht="19.5" customHeight="1" x14ac:dyDescent="0.3">
      <c r="A4" s="3"/>
      <c r="B4" s="3" t="s">
        <v>146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12" ht="15.75" customHeight="1" x14ac:dyDescent="0.3">
      <c r="A5" s="124" t="s">
        <v>147</v>
      </c>
      <c r="B5" s="124"/>
      <c r="C5" s="124"/>
      <c r="D5" s="124"/>
      <c r="E5" s="124"/>
      <c r="F5" s="124"/>
      <c r="G5" s="124"/>
      <c r="H5" s="124"/>
    </row>
    <row r="6" spans="1:12" ht="15" customHeight="1" x14ac:dyDescent="0.3">
      <c r="A6" s="50" t="s">
        <v>148</v>
      </c>
      <c r="B6" s="57">
        <v>0</v>
      </c>
      <c r="C6" s="52">
        <f>0</f>
        <v>0</v>
      </c>
      <c r="D6" s="52">
        <f>C9</f>
        <v>0</v>
      </c>
      <c r="E6" s="52">
        <f>D9</f>
        <v>0</v>
      </c>
      <c r="F6" s="52">
        <f>E9</f>
        <v>0</v>
      </c>
      <c r="G6" s="52">
        <f>F9</f>
        <v>0</v>
      </c>
    </row>
    <row r="7" spans="1:12" ht="15" customHeight="1" x14ac:dyDescent="0.3">
      <c r="A7" s="50" t="s">
        <v>149</v>
      </c>
      <c r="B7" s="57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</row>
    <row r="8" spans="1:12" ht="15" customHeight="1" x14ac:dyDescent="0.3">
      <c r="A8" s="50" t="s">
        <v>150</v>
      </c>
      <c r="B8" s="57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</row>
    <row r="9" spans="1:12" ht="15" customHeight="1" x14ac:dyDescent="0.3">
      <c r="A9" s="16" t="s">
        <v>151</v>
      </c>
      <c r="B9" s="58">
        <v>0</v>
      </c>
      <c r="C9" s="59">
        <f>MAX(0,C6+C7+C8)</f>
        <v>0</v>
      </c>
      <c r="D9" s="59">
        <f>MAX(0,D6+D7+D8)</f>
        <v>0</v>
      </c>
      <c r="E9" s="59">
        <f>MAX(0,E6+E7+E8)</f>
        <v>0</v>
      </c>
      <c r="F9" s="59">
        <f>MAX(0,F6+F7+F8)</f>
        <v>0</v>
      </c>
      <c r="G9" s="59">
        <f>MAX(0,G6+G7+G8)</f>
        <v>0</v>
      </c>
    </row>
    <row r="10" spans="1:12" ht="15" customHeight="1" x14ac:dyDescent="0.3">
      <c r="A10" s="50" t="s">
        <v>152</v>
      </c>
      <c r="B10" s="57">
        <v>0</v>
      </c>
      <c r="C10" s="52">
        <f>-AVERAGE(C6,C9)*'Transaction Assumptions'!C40</f>
        <v>0</v>
      </c>
      <c r="D10" s="52">
        <f>-AVERAGE(D6,D9)*'Transaction Assumptions'!C40</f>
        <v>0</v>
      </c>
      <c r="E10" s="52">
        <f>-AVERAGE(E6,E9)*'Transaction Assumptions'!C40</f>
        <v>0</v>
      </c>
      <c r="F10" s="52">
        <f>-AVERAGE(F6,F9)*'Transaction Assumptions'!C40</f>
        <v>0</v>
      </c>
      <c r="G10" s="52">
        <f>-AVERAGE(G6,G9)*'Transaction Assumptions'!C40</f>
        <v>0</v>
      </c>
    </row>
    <row r="11" spans="1:12" ht="15.75" customHeight="1" x14ac:dyDescent="0.3">
      <c r="A11" s="124" t="s">
        <v>153</v>
      </c>
      <c r="B11" s="124"/>
      <c r="C11" s="124"/>
      <c r="D11" s="124"/>
      <c r="E11" s="124"/>
      <c r="F11" s="124"/>
      <c r="G11" s="124"/>
      <c r="H11" s="124"/>
    </row>
    <row r="12" spans="1:12" ht="15" customHeight="1" x14ac:dyDescent="0.3">
      <c r="A12" s="50" t="s">
        <v>154</v>
      </c>
      <c r="B12" s="57">
        <f>'Transaction Assumptions'!B41</f>
        <v>591302</v>
      </c>
      <c r="C12" s="55">
        <f>'Transaction Assumptions'!B41</f>
        <v>591302</v>
      </c>
      <c r="D12" s="55">
        <f ca="1">C15</f>
        <v>0</v>
      </c>
      <c r="E12" s="55">
        <f ca="1">D15</f>
        <v>0</v>
      </c>
      <c r="F12" s="55">
        <f ca="1">E15</f>
        <v>0</v>
      </c>
      <c r="G12" s="55">
        <f ca="1">F15</f>
        <v>0</v>
      </c>
    </row>
    <row r="13" spans="1:12" ht="15" customHeight="1" x14ac:dyDescent="0.3">
      <c r="A13" s="50" t="s">
        <v>155</v>
      </c>
      <c r="B13" s="57">
        <v>0</v>
      </c>
      <c r="C13" s="56">
        <f>-'Transaction Assumptions'!B41*5%</f>
        <v>-29565.100000000002</v>
      </c>
      <c r="D13" s="56">
        <f ca="1">-MIN(D12,'Transaction Assumptions'!$B$41*0.05)</f>
        <v>0</v>
      </c>
      <c r="E13" s="56">
        <f ca="1">-MIN(E12,'Transaction Assumptions'!$B$41*0.05)</f>
        <v>0</v>
      </c>
      <c r="F13" s="56">
        <f ca="1">-MIN(F12,'Transaction Assumptions'!$B$41*0.05)</f>
        <v>0</v>
      </c>
      <c r="G13" s="56">
        <f ca="1">-MIN(G12,'Transaction Assumptions'!$B$41*0.05)</f>
        <v>0</v>
      </c>
    </row>
    <row r="14" spans="1:12" ht="15" customHeight="1" x14ac:dyDescent="0.3">
      <c r="A14" s="50" t="s">
        <v>156</v>
      </c>
      <c r="B14" s="57">
        <v>0</v>
      </c>
      <c r="C14" s="60">
        <f ca="1">-MIN(C12+C13,MAX(0,C28+C29+C33))</f>
        <v>-561736.9</v>
      </c>
      <c r="D14" s="60">
        <f t="shared" ref="D14:G14" ca="1" si="0">-MIN(D12+D13,MAX(0,D28+D29+D33))</f>
        <v>0</v>
      </c>
      <c r="E14" s="60">
        <f t="shared" ca="1" si="0"/>
        <v>0</v>
      </c>
      <c r="F14" s="60">
        <f t="shared" ca="1" si="0"/>
        <v>0</v>
      </c>
      <c r="G14" s="60">
        <f t="shared" ca="1" si="0"/>
        <v>0</v>
      </c>
    </row>
    <row r="15" spans="1:12" ht="15" customHeight="1" x14ac:dyDescent="0.3">
      <c r="A15" s="16" t="s">
        <v>157</v>
      </c>
      <c r="B15" s="58">
        <f>B12</f>
        <v>591302</v>
      </c>
      <c r="C15" s="61">
        <f ca="1">SUM(C12:C14)</f>
        <v>0</v>
      </c>
      <c r="D15" s="61">
        <f t="shared" ref="D15:G15" ca="1" si="1">SUM(D12:D14)</f>
        <v>0</v>
      </c>
      <c r="E15" s="61">
        <f t="shared" ca="1" si="1"/>
        <v>0</v>
      </c>
      <c r="F15" s="61">
        <f t="shared" ca="1" si="1"/>
        <v>0</v>
      </c>
      <c r="G15" s="61">
        <f t="shared" ca="1" si="1"/>
        <v>0</v>
      </c>
    </row>
    <row r="16" spans="1:12" ht="15" customHeight="1" x14ac:dyDescent="0.3">
      <c r="A16" s="50" t="s">
        <v>158</v>
      </c>
      <c r="B16" s="57">
        <v>0</v>
      </c>
      <c r="C16" s="56">
        <f ca="1">AVERAGE(C12,C15)*'Transaction Assumptions'!C41</f>
        <v>22528.606199999998</v>
      </c>
      <c r="D16" s="56">
        <f ca="1">AVERAGE(D12,D15)*'Transaction Assumptions'!C41</f>
        <v>0</v>
      </c>
      <c r="E16" s="56">
        <f ca="1">AVERAGE(E12,E15)*'Transaction Assumptions'!C41</f>
        <v>0</v>
      </c>
      <c r="F16" s="56">
        <f ca="1">AVERAGE(F12,F15)*'Transaction Assumptions'!C41</f>
        <v>0</v>
      </c>
      <c r="G16" s="56">
        <f ca="1">AVERAGE(G12,G15)*'Transaction Assumptions'!C41</f>
        <v>0</v>
      </c>
    </row>
    <row r="17" spans="1:8" ht="15.75" customHeight="1" x14ac:dyDescent="0.3">
      <c r="A17" s="124" t="s">
        <v>159</v>
      </c>
      <c r="B17" s="124"/>
      <c r="C17" s="124"/>
      <c r="D17" s="124"/>
      <c r="E17" s="124"/>
      <c r="F17" s="124"/>
      <c r="G17" s="124"/>
      <c r="H17" s="124"/>
    </row>
    <row r="18" spans="1:8" ht="15" customHeight="1" x14ac:dyDescent="0.3">
      <c r="A18" s="50" t="s">
        <v>160</v>
      </c>
      <c r="B18" s="57">
        <f>'Transaction Assumptions'!B42</f>
        <v>886953</v>
      </c>
      <c r="C18" s="52">
        <f>'Transaction Assumptions'!B42</f>
        <v>886953</v>
      </c>
      <c r="D18" s="52">
        <f>C20</f>
        <v>987799.55610000005</v>
      </c>
      <c r="E18" s="52">
        <f>D20</f>
        <v>1100112.3656285701</v>
      </c>
      <c r="F18" s="52">
        <f>E20</f>
        <v>1225195.1416005385</v>
      </c>
      <c r="G18" s="52">
        <f>F20</f>
        <v>1364499.8292005197</v>
      </c>
    </row>
    <row r="19" spans="1:8" ht="15" customHeight="1" x14ac:dyDescent="0.3">
      <c r="A19" s="50" t="s">
        <v>266</v>
      </c>
      <c r="B19" s="57">
        <v>0</v>
      </c>
      <c r="C19" s="52">
        <f>C18*'Transaction Assumptions'!C42</f>
        <v>100846.5561</v>
      </c>
      <c r="D19" s="52">
        <f>D18*'Transaction Assumptions'!C42</f>
        <v>112312.80952857</v>
      </c>
      <c r="E19" s="52">
        <f>E18*'Transaction Assumptions'!C42</f>
        <v>125082.77597196841</v>
      </c>
      <c r="F19" s="52">
        <f>F18*'Transaction Assumptions'!C42</f>
        <v>139304.68759998123</v>
      </c>
      <c r="G19" s="52">
        <f>G18*'Transaction Assumptions'!C42</f>
        <v>155143.6305800991</v>
      </c>
    </row>
    <row r="20" spans="1:8" ht="15" customHeight="1" x14ac:dyDescent="0.3">
      <c r="A20" s="16" t="s">
        <v>161</v>
      </c>
      <c r="B20" s="58">
        <f>SUM(B18:B19)</f>
        <v>886953</v>
      </c>
      <c r="C20" s="59">
        <f>C18+C19</f>
        <v>987799.55610000005</v>
      </c>
      <c r="D20" s="59">
        <f>D18+D19</f>
        <v>1100112.3656285701</v>
      </c>
      <c r="E20" s="59">
        <f>E18+E19</f>
        <v>1225195.1416005385</v>
      </c>
      <c r="F20" s="59">
        <f>F18+F19</f>
        <v>1364499.8292005197</v>
      </c>
      <c r="G20" s="59">
        <f>G18+G19</f>
        <v>1519643.4597806188</v>
      </c>
    </row>
    <row r="21" spans="1:8" ht="15.75" customHeight="1" x14ac:dyDescent="0.3">
      <c r="A21" s="124" t="s">
        <v>162</v>
      </c>
      <c r="B21" s="124"/>
      <c r="C21" s="124"/>
      <c r="D21" s="124"/>
      <c r="E21" s="124"/>
      <c r="F21" s="124"/>
      <c r="G21" s="124"/>
      <c r="H21" s="124"/>
    </row>
    <row r="22" spans="1:8" ht="15" customHeight="1" x14ac:dyDescent="0.3">
      <c r="A22" s="62" t="s">
        <v>163</v>
      </c>
      <c r="B22" s="63">
        <f>'Transaction Assumptions'!B41+'Transaction Assumptions'!B42</f>
        <v>1478255</v>
      </c>
      <c r="C22" s="64">
        <f ca="1">C9+C15+C20</f>
        <v>987799.55610000005</v>
      </c>
      <c r="D22" s="64">
        <f ca="1">D9+D15+D20</f>
        <v>1100112.3656285701</v>
      </c>
      <c r="E22" s="64">
        <f ca="1">E9+E15+E20</f>
        <v>1225195.1416005385</v>
      </c>
      <c r="F22" s="64">
        <f ca="1">F9+F15+F20</f>
        <v>1364499.8292005197</v>
      </c>
      <c r="G22" s="64">
        <f ca="1">G9+G15+G20</f>
        <v>1519643.4597806188</v>
      </c>
    </row>
    <row r="23" spans="1:8" ht="15" customHeight="1" x14ac:dyDescent="0.3">
      <c r="A23" s="50" t="s">
        <v>164</v>
      </c>
      <c r="B23" s="12">
        <f>'Levered FCFs'!F18</f>
        <v>295651</v>
      </c>
      <c r="C23" s="52">
        <f>'Levered FCFs'!G18</f>
        <v>372712.23919999995</v>
      </c>
      <c r="D23" s="52">
        <f>'Levered FCFs'!H18</f>
        <v>417437.70790400007</v>
      </c>
      <c r="E23" s="52">
        <f>'Levered FCFs'!I18</f>
        <v>467530.23285248003</v>
      </c>
      <c r="F23" s="52">
        <f>'Levered FCFs'!J18</f>
        <v>523633.86079477781</v>
      </c>
      <c r="G23" s="52">
        <f>'Levered FCFs'!K18</f>
        <v>586469.92409015109</v>
      </c>
    </row>
    <row r="24" spans="1:8" ht="15" customHeight="1" x14ac:dyDescent="0.3">
      <c r="A24" s="16" t="s">
        <v>165</v>
      </c>
      <c r="B24" s="65">
        <f t="shared" ref="B24:G24" si="2">B22/B23</f>
        <v>5</v>
      </c>
      <c r="C24" s="66">
        <f t="shared" ca="1" si="2"/>
        <v>2.6503008278457418</v>
      </c>
      <c r="D24" s="66">
        <f t="shared" ca="1" si="2"/>
        <v>2.6353928856891091</v>
      </c>
      <c r="E24" s="66">
        <f t="shared" ca="1" si="2"/>
        <v>2.6205688007071082</v>
      </c>
      <c r="F24" s="66">
        <f t="shared" ca="1" si="2"/>
        <v>2.6058281012031297</v>
      </c>
      <c r="G24" s="66">
        <f t="shared" ca="1" si="2"/>
        <v>2.5911703181338623</v>
      </c>
    </row>
    <row r="25" spans="1:8" ht="15" customHeight="1" x14ac:dyDescent="0.3">
      <c r="A25" s="50" t="s">
        <v>166</v>
      </c>
      <c r="B25" s="15">
        <f>'Transaction Assumptions'!B44</f>
        <v>7</v>
      </c>
      <c r="C25" s="67">
        <f>'Transaction Assumptions'!B44</f>
        <v>7</v>
      </c>
      <c r="D25" s="67">
        <f>'Transaction Assumptions'!B44</f>
        <v>7</v>
      </c>
      <c r="E25" s="67">
        <f>'Transaction Assumptions'!B44</f>
        <v>7</v>
      </c>
      <c r="F25" s="67">
        <f>'Transaction Assumptions'!B44</f>
        <v>7</v>
      </c>
      <c r="G25" s="67">
        <f>'Transaction Assumptions'!B44</f>
        <v>7</v>
      </c>
    </row>
    <row r="26" spans="1:8" ht="15" customHeight="1" x14ac:dyDescent="0.3">
      <c r="A26" s="68" t="s">
        <v>167</v>
      </c>
      <c r="B26" s="69" t="str">
        <f t="shared" ref="B26:G26" si="3">IF(B24&gt;B25,"BREACH","OK")</f>
        <v>OK</v>
      </c>
      <c r="C26" s="70" t="str">
        <f t="shared" ca="1" si="3"/>
        <v>OK</v>
      </c>
      <c r="D26" s="70" t="str">
        <f t="shared" ca="1" si="3"/>
        <v>OK</v>
      </c>
      <c r="E26" s="70" t="str">
        <f t="shared" ca="1" si="3"/>
        <v>OK</v>
      </c>
      <c r="F26" s="70" t="str">
        <f t="shared" ca="1" si="3"/>
        <v>OK</v>
      </c>
      <c r="G26" s="70" t="str">
        <f t="shared" ca="1" si="3"/>
        <v>OK</v>
      </c>
    </row>
    <row r="27" spans="1:8" ht="15.75" customHeight="1" x14ac:dyDescent="0.3">
      <c r="A27" s="124" t="s">
        <v>168</v>
      </c>
      <c r="B27" s="124"/>
      <c r="C27" s="124"/>
      <c r="D27" s="124"/>
      <c r="E27" s="124"/>
      <c r="F27" s="124"/>
      <c r="G27" s="124"/>
      <c r="H27" s="124"/>
    </row>
    <row r="28" spans="1:8" ht="15" customHeight="1" x14ac:dyDescent="0.3">
      <c r="A28" s="50" t="s">
        <v>169</v>
      </c>
      <c r="B28" s="12">
        <f>'Transaction Assumptions'!B11</f>
        <v>709171</v>
      </c>
      <c r="C28" s="55">
        <f>B34</f>
        <v>709171</v>
      </c>
      <c r="D28" s="55">
        <f ca="1">C34</f>
        <v>469151.23832728004</v>
      </c>
      <c r="E28" s="55">
        <f ca="1">D34</f>
        <v>893540.58428739454</v>
      </c>
      <c r="F28" s="55">
        <f ca="1">E34</f>
        <v>1382558.5575069175</v>
      </c>
      <c r="G28" s="55">
        <f ca="1">F34</f>
        <v>1936899.8971468867</v>
      </c>
    </row>
    <row r="29" spans="1:8" ht="15" customHeight="1" x14ac:dyDescent="0.3">
      <c r="A29" s="50" t="s">
        <v>170</v>
      </c>
      <c r="B29" s="57">
        <v>0</v>
      </c>
      <c r="C29" s="55">
        <f ca="1">'Levered FCFs'!G31</f>
        <v>321717.13832728</v>
      </c>
      <c r="D29" s="55">
        <f ca="1">'Levered FCFs'!H31</f>
        <v>424389.34596011456</v>
      </c>
      <c r="E29" s="55">
        <f ca="1">'Levered FCFs'!I31</f>
        <v>489017.97321952129</v>
      </c>
      <c r="F29" s="55">
        <f ca="1">'Levered FCFs'!J31</f>
        <v>554341.33963952342</v>
      </c>
      <c r="G29" s="55">
        <f ca="1">'Levered FCFs'!K31</f>
        <v>627752.27172795194</v>
      </c>
    </row>
    <row r="30" spans="1:8" ht="15" customHeight="1" x14ac:dyDescent="0.3">
      <c r="A30" s="50" t="s">
        <v>171</v>
      </c>
      <c r="B30" s="57">
        <v>0</v>
      </c>
      <c r="C30" s="55">
        <f>C28</f>
        <v>709171</v>
      </c>
      <c r="D30" s="55">
        <f ca="1">D28</f>
        <v>469151.23832728004</v>
      </c>
      <c r="E30" s="55">
        <f ca="1">E28</f>
        <v>893540.58428739454</v>
      </c>
      <c r="F30" s="55">
        <f ca="1">F28</f>
        <v>1382558.5575069175</v>
      </c>
      <c r="G30" s="55">
        <f ca="1">G28</f>
        <v>1936899.8971468867</v>
      </c>
    </row>
    <row r="31" spans="1:8" ht="15" customHeight="1" x14ac:dyDescent="0.3">
      <c r="A31" s="50" t="s">
        <v>172</v>
      </c>
      <c r="B31" s="57">
        <v>0</v>
      </c>
      <c r="C31" s="52">
        <f>C7+C8</f>
        <v>0</v>
      </c>
      <c r="D31" s="52">
        <f>D7+D8</f>
        <v>0</v>
      </c>
      <c r="E31" s="52">
        <f>E7+E8</f>
        <v>0</v>
      </c>
      <c r="F31" s="52">
        <f>F7+F8</f>
        <v>0</v>
      </c>
      <c r="G31" s="52">
        <f>G7+G8</f>
        <v>0</v>
      </c>
    </row>
    <row r="32" spans="1:8" ht="15" customHeight="1" x14ac:dyDescent="0.3">
      <c r="A32" s="50" t="s">
        <v>173</v>
      </c>
      <c r="B32" s="57">
        <v>0</v>
      </c>
      <c r="C32" s="52">
        <f ca="1">C14</f>
        <v>-561736.9</v>
      </c>
      <c r="D32" s="52">
        <f ca="1">D14</f>
        <v>0</v>
      </c>
      <c r="E32" s="52">
        <f ca="1">E14</f>
        <v>0</v>
      </c>
      <c r="F32" s="52">
        <f ca="1">F14</f>
        <v>0</v>
      </c>
      <c r="G32" s="52">
        <f ca="1">G14</f>
        <v>0</v>
      </c>
    </row>
    <row r="33" spans="1:8" ht="15" customHeight="1" x14ac:dyDescent="0.3">
      <c r="A33" s="50" t="s">
        <v>174</v>
      </c>
      <c r="B33" s="12">
        <f>-'Transaction Assumptions'!E21</f>
        <v>-40000</v>
      </c>
      <c r="C33" s="52">
        <f>B33</f>
        <v>-40000</v>
      </c>
      <c r="D33" s="52">
        <f t="shared" ref="D33:G33" si="4">C33</f>
        <v>-40000</v>
      </c>
      <c r="E33" s="52">
        <f t="shared" si="4"/>
        <v>-40000</v>
      </c>
      <c r="F33" s="52">
        <f t="shared" si="4"/>
        <v>-40000</v>
      </c>
      <c r="G33" s="52">
        <f t="shared" si="4"/>
        <v>-40000</v>
      </c>
    </row>
    <row r="34" spans="1:8" ht="15" customHeight="1" x14ac:dyDescent="0.3">
      <c r="A34" s="71" t="s">
        <v>175</v>
      </c>
      <c r="B34" s="40">
        <f>B28</f>
        <v>709171</v>
      </c>
      <c r="C34" s="41">
        <f ca="1">MAX('Transaction Assumptions'!B43,C28+'Levered FCFs'!G31+C32)</f>
        <v>469151.23832728004</v>
      </c>
      <c r="D34" s="41">
        <f ca="1">MAX('Transaction Assumptions'!C43,D28+'Levered FCFs'!H31+D32)</f>
        <v>893540.58428739454</v>
      </c>
      <c r="E34" s="41">
        <f ca="1">MAX('Transaction Assumptions'!D43,E28+'Levered FCFs'!I31+E32)</f>
        <v>1382558.5575069159</v>
      </c>
      <c r="F34" s="41">
        <f ca="1">MAX('Transaction Assumptions'!E43,F28+'Levered FCFs'!J31+F32)</f>
        <v>1936899.897146441</v>
      </c>
      <c r="G34" s="41">
        <f ca="1">MAX('Transaction Assumptions'!F43,G28+'Levered FCFs'!K31+G32)</f>
        <v>2564652.1688748384</v>
      </c>
    </row>
    <row r="35" spans="1:8" ht="15" customHeight="1" x14ac:dyDescent="0.3">
      <c r="A35" s="16" t="s">
        <v>176</v>
      </c>
      <c r="B35" s="72">
        <f t="shared" ref="B35:G35" si="5">B22-B34</f>
        <v>769084</v>
      </c>
      <c r="C35" s="61">
        <f t="shared" ca="1" si="5"/>
        <v>518648.31777272001</v>
      </c>
      <c r="D35" s="61">
        <f t="shared" ca="1" si="5"/>
        <v>206571.78134117555</v>
      </c>
      <c r="E35" s="61">
        <f t="shared" ca="1" si="5"/>
        <v>-157363.41590637737</v>
      </c>
      <c r="F35" s="61">
        <f t="shared" ca="1" si="5"/>
        <v>-572400.06794592133</v>
      </c>
      <c r="G35" s="61">
        <f t="shared" ca="1" si="5"/>
        <v>-1045008.7090942196</v>
      </c>
    </row>
    <row r="36" spans="1:8" ht="15.75" customHeight="1" x14ac:dyDescent="0.3">
      <c r="A36" s="124" t="s">
        <v>177</v>
      </c>
      <c r="B36" s="124"/>
      <c r="C36" s="124"/>
      <c r="D36" s="124"/>
      <c r="E36" s="124"/>
      <c r="F36" s="124"/>
      <c r="G36" s="124"/>
      <c r="H36" s="124"/>
    </row>
    <row r="37" spans="1:8" ht="15" customHeight="1" x14ac:dyDescent="0.3">
      <c r="A37" s="62" t="s">
        <v>178</v>
      </c>
      <c r="B37" s="63">
        <v>0</v>
      </c>
      <c r="C37" s="73">
        <f ca="1">C10+C16</f>
        <v>22528.606199999998</v>
      </c>
      <c r="D37" s="73">
        <f ca="1">D10+D16</f>
        <v>0</v>
      </c>
      <c r="E37" s="73">
        <f ca="1">E10+E16</f>
        <v>0</v>
      </c>
      <c r="F37" s="73">
        <f ca="1">F10+F16</f>
        <v>0</v>
      </c>
      <c r="G37" s="73">
        <f ca="1">G10+G16</f>
        <v>0</v>
      </c>
    </row>
    <row r="38" spans="1:8" ht="15" customHeight="1" x14ac:dyDescent="0.3">
      <c r="A38" s="50" t="s">
        <v>179</v>
      </c>
      <c r="B38" s="57">
        <v>0</v>
      </c>
      <c r="C38" s="52">
        <f>C19</f>
        <v>100846.5561</v>
      </c>
      <c r="D38" s="52">
        <f>D19</f>
        <v>112312.80952857</v>
      </c>
      <c r="E38" s="52">
        <f>E19</f>
        <v>125082.77597196841</v>
      </c>
      <c r="F38" s="52">
        <f>F19</f>
        <v>139304.68759998123</v>
      </c>
      <c r="G38" s="52">
        <f>G19</f>
        <v>155143.6305800991</v>
      </c>
    </row>
    <row r="39" spans="1:8" ht="15" customHeight="1" x14ac:dyDescent="0.3">
      <c r="A39" s="47" t="s">
        <v>180</v>
      </c>
      <c r="B39" s="74">
        <v>0</v>
      </c>
      <c r="C39" s="75">
        <f ca="1">C37+C38</f>
        <v>123375.1623</v>
      </c>
      <c r="D39" s="75">
        <f ca="1">D37+D38</f>
        <v>112312.80952857</v>
      </c>
      <c r="E39" s="75">
        <f ca="1">E37+E38</f>
        <v>125082.77597196841</v>
      </c>
      <c r="F39" s="75">
        <f ca="1">F37+F38</f>
        <v>139304.68759998123</v>
      </c>
      <c r="G39" s="75">
        <f ca="1">G37+G38</f>
        <v>155143.6305800991</v>
      </c>
    </row>
  </sheetData>
  <mergeCells count="8">
    <mergeCell ref="A21:H21"/>
    <mergeCell ref="A27:H27"/>
    <mergeCell ref="A36:H36"/>
    <mergeCell ref="A1:L1"/>
    <mergeCell ref="A2:L2"/>
    <mergeCell ref="A5:H5"/>
    <mergeCell ref="A11:H11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M68"/>
  <sheetViews>
    <sheetView showGridLines="0" zoomScale="92" zoomScaleNormal="85" workbookViewId="0">
      <pane ySplit="3" topLeftCell="A4" activePane="bottomLeft" state="frozen"/>
      <selection pane="bottomLeft" activeCell="F10" sqref="F10"/>
    </sheetView>
  </sheetViews>
  <sheetFormatPr defaultColWidth="8.6640625" defaultRowHeight="14.4" x14ac:dyDescent="0.3"/>
  <cols>
    <col min="1" max="1" width="40" customWidth="1"/>
    <col min="2" max="2" width="14.77734375" customWidth="1"/>
    <col min="3" max="3" width="14.33203125" customWidth="1"/>
    <col min="4" max="10" width="16" customWidth="1"/>
    <col min="11" max="11" width="19.109375" customWidth="1"/>
  </cols>
  <sheetData>
    <row r="1" spans="1:10" ht="27.75" customHeight="1" x14ac:dyDescent="0.3">
      <c r="A1" s="125" t="s">
        <v>181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13.5" customHeight="1" x14ac:dyDescent="0.3">
      <c r="A2" s="126" t="s">
        <v>182</v>
      </c>
      <c r="B2" s="126"/>
      <c r="C2" s="126"/>
      <c r="D2" s="126"/>
      <c r="E2" s="126"/>
      <c r="F2" s="126"/>
      <c r="G2" s="126"/>
      <c r="H2" s="126"/>
      <c r="I2" s="126"/>
      <c r="J2" s="126"/>
    </row>
    <row r="4" spans="1:10" ht="15.75" customHeight="1" x14ac:dyDescent="0.3">
      <c r="A4" s="124" t="s">
        <v>183</v>
      </c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8" customHeight="1" x14ac:dyDescent="0.3">
      <c r="A5" s="3"/>
      <c r="B5" s="3"/>
      <c r="C5" s="3"/>
      <c r="D5" s="3" t="s">
        <v>104</v>
      </c>
      <c r="E5" s="3" t="s">
        <v>105</v>
      </c>
      <c r="F5" s="3" t="s">
        <v>106</v>
      </c>
    </row>
    <row r="6" spans="1:10" ht="15" customHeight="1" x14ac:dyDescent="0.3">
      <c r="A6" s="50" t="s">
        <v>184</v>
      </c>
      <c r="B6" s="50"/>
      <c r="C6" s="50"/>
      <c r="D6" s="46">
        <f>'Transaction Assumptions'!B49</f>
        <v>10</v>
      </c>
      <c r="E6" s="46">
        <f>'Transaction Assumptions'!C49</f>
        <v>12</v>
      </c>
      <c r="F6" s="46">
        <f>'Transaction Assumptions'!D49</f>
        <v>14</v>
      </c>
    </row>
    <row r="7" spans="1:10" ht="15" customHeight="1" x14ac:dyDescent="0.3">
      <c r="A7" s="50" t="s">
        <v>185</v>
      </c>
      <c r="B7" s="50"/>
      <c r="C7" s="50"/>
      <c r="D7" s="12">
        <f>'Levered FCFs'!K18</f>
        <v>586469.92409015109</v>
      </c>
      <c r="E7" s="12">
        <f>'Levered FCFs'!K18</f>
        <v>586469.92409015109</v>
      </c>
      <c r="F7" s="12">
        <f>'Levered FCFs'!K18</f>
        <v>586469.92409015109</v>
      </c>
    </row>
    <row r="8" spans="1:10" ht="15" customHeight="1" x14ac:dyDescent="0.3">
      <c r="A8" s="76" t="s">
        <v>186</v>
      </c>
      <c r="B8" s="76"/>
      <c r="C8" s="76"/>
      <c r="D8" s="53">
        <f>D6*D7</f>
        <v>5864699.2409015112</v>
      </c>
      <c r="E8" s="53">
        <f>E6*E7</f>
        <v>7037639.0890818126</v>
      </c>
      <c r="F8" s="53">
        <f>F6*F7</f>
        <v>8210578.9372621151</v>
      </c>
    </row>
    <row r="9" spans="1:10" ht="15" customHeight="1" x14ac:dyDescent="0.3">
      <c r="A9" s="50" t="s">
        <v>187</v>
      </c>
      <c r="B9" s="50"/>
      <c r="C9" s="50"/>
      <c r="D9" s="12">
        <f ca="1">'Capital Structure'!G35</f>
        <v>-1045008.7090942196</v>
      </c>
      <c r="E9" s="12">
        <f ca="1">'Capital Structure'!G35</f>
        <v>-1045008.7090942196</v>
      </c>
      <c r="F9" s="12">
        <f ca="1">'Capital Structure'!G35</f>
        <v>-1045008.7090942196</v>
      </c>
    </row>
    <row r="10" spans="1:10" ht="15" customHeight="1" x14ac:dyDescent="0.3">
      <c r="A10" s="76" t="s">
        <v>188</v>
      </c>
      <c r="B10" s="76"/>
      <c r="C10" s="76"/>
      <c r="D10" s="53">
        <f ca="1">D8-D9</f>
        <v>6909707.949995731</v>
      </c>
      <c r="E10" s="53">
        <f ca="1">E8-E9</f>
        <v>8082647.7981760325</v>
      </c>
      <c r="F10" s="53">
        <f ca="1">F8-F9</f>
        <v>9255587.6463563349</v>
      </c>
    </row>
    <row r="11" spans="1:10" ht="15.75" customHeight="1" x14ac:dyDescent="0.3">
      <c r="A11" s="124" t="s">
        <v>189</v>
      </c>
      <c r="B11" s="124"/>
      <c r="C11" s="124"/>
      <c r="D11" s="124"/>
      <c r="E11" s="124"/>
      <c r="F11" s="124"/>
      <c r="G11" s="124"/>
      <c r="H11" s="124"/>
      <c r="I11" s="124"/>
      <c r="J11" s="124"/>
    </row>
    <row r="12" spans="1:10" ht="18" customHeight="1" x14ac:dyDescent="0.3">
      <c r="A12" s="3"/>
      <c r="B12" s="3"/>
      <c r="C12" s="3"/>
      <c r="D12" s="3" t="s">
        <v>104</v>
      </c>
      <c r="E12" s="3" t="s">
        <v>105</v>
      </c>
      <c r="F12" s="3" t="s">
        <v>106</v>
      </c>
    </row>
    <row r="13" spans="1:10" ht="15" customHeight="1" x14ac:dyDescent="0.3">
      <c r="A13" s="50" t="s">
        <v>190</v>
      </c>
      <c r="B13" s="50"/>
      <c r="C13" s="50"/>
      <c r="D13" s="12">
        <f>'Transaction Assumptions'!B23</f>
        <v>664262.94999999972</v>
      </c>
      <c r="E13" s="12">
        <f>'Transaction Assumptions'!B23</f>
        <v>664262.94999999972</v>
      </c>
      <c r="F13" s="12">
        <f>'Transaction Assumptions'!B23</f>
        <v>664262.94999999972</v>
      </c>
    </row>
    <row r="14" spans="1:10" ht="15" customHeight="1" x14ac:dyDescent="0.3">
      <c r="A14" s="76" t="s">
        <v>191</v>
      </c>
      <c r="B14" s="76"/>
      <c r="C14" s="76"/>
      <c r="D14" s="53">
        <f ca="1">D10</f>
        <v>6909707.949995731</v>
      </c>
      <c r="E14" s="53">
        <f ca="1">E10</f>
        <v>8082647.7981760325</v>
      </c>
      <c r="F14" s="53">
        <f ca="1">F10</f>
        <v>9255587.6463563349</v>
      </c>
    </row>
    <row r="15" spans="1:10" ht="15" customHeight="1" x14ac:dyDescent="0.3">
      <c r="A15" s="76" t="s">
        <v>192</v>
      </c>
      <c r="B15" s="76"/>
      <c r="C15" s="76"/>
      <c r="D15" s="77">
        <f ca="1">D14/D13</f>
        <v>10.40206735901157</v>
      </c>
      <c r="E15" s="77">
        <f ca="1">E14/E13</f>
        <v>12.167843770567117</v>
      </c>
      <c r="F15" s="77">
        <f ca="1">F14/F13</f>
        <v>13.933620182122665</v>
      </c>
    </row>
    <row r="16" spans="1:10" ht="15" customHeight="1" x14ac:dyDescent="0.3">
      <c r="A16" s="76" t="s">
        <v>193</v>
      </c>
      <c r="B16" s="76"/>
      <c r="C16" s="76"/>
      <c r="D16" s="78">
        <f ca="1">IRR(D54:D59,0)</f>
        <v>0.59743770976087962</v>
      </c>
      <c r="E16" s="78">
        <f ca="1">IRR(E54:E59,0)</f>
        <v>0.64832454229445524</v>
      </c>
      <c r="F16" s="78">
        <f ca="1">IRR(F54:F59,0)</f>
        <v>0.69360759875945921</v>
      </c>
      <c r="G16" s="102"/>
    </row>
    <row r="17" spans="1:13" ht="15" customHeight="1" x14ac:dyDescent="0.3">
      <c r="A17" s="50" t="s">
        <v>194</v>
      </c>
      <c r="B17" s="50"/>
      <c r="C17" s="50"/>
      <c r="D17" s="79">
        <v>5</v>
      </c>
      <c r="E17" s="79">
        <v>5</v>
      </c>
      <c r="F17" s="79">
        <v>5</v>
      </c>
    </row>
    <row r="19" spans="1:13" ht="15.75" customHeight="1" x14ac:dyDescent="0.3">
      <c r="A19" s="124" t="s">
        <v>195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3" t="s">
        <v>279</v>
      </c>
      <c r="L19" s="123"/>
      <c r="M19" s="123"/>
    </row>
    <row r="20" spans="1:13" ht="18" customHeight="1" x14ac:dyDescent="0.3">
      <c r="A20" s="96">
        <f ca="1">E15</f>
        <v>12.167843770567117</v>
      </c>
      <c r="B20" s="97">
        <f>C20-0.02</f>
        <v>3.999999999999998E-2</v>
      </c>
      <c r="C20" s="98">
        <f>D20-0.02</f>
        <v>5.9999999999999984E-2</v>
      </c>
      <c r="D20" s="97">
        <f>E20-0.02</f>
        <v>7.9999999999999988E-2</v>
      </c>
      <c r="E20" s="97">
        <f>$F$20-0.02</f>
        <v>9.9999999999999992E-2</v>
      </c>
      <c r="F20" s="97">
        <f>'Transaction Assumptions'!B28</f>
        <v>0.12</v>
      </c>
      <c r="G20" s="97">
        <f>$F$20+0.02</f>
        <v>0.13999999999999999</v>
      </c>
      <c r="H20" s="97">
        <f>G20+0.02</f>
        <v>0.15999999999999998</v>
      </c>
      <c r="I20" s="99">
        <f>H20+0.02</f>
        <v>0.17999999999999997</v>
      </c>
      <c r="K20" s="101" t="s">
        <v>276</v>
      </c>
      <c r="L20" s="104" t="s">
        <v>277</v>
      </c>
      <c r="M20" s="104" t="s">
        <v>278</v>
      </c>
    </row>
    <row r="21" spans="1:13" ht="18" customHeight="1" x14ac:dyDescent="0.3">
      <c r="A21" s="121">
        <v>8</v>
      </c>
      <c r="B21" s="108">
        <f t="dataTable" ref="B21:I27" dt2D="1" dtr="1" r1="K21" r2="E6" ca="1"/>
        <v>5.8688634260351549</v>
      </c>
      <c r="C21" s="108">
        <v>6.4903699592907005</v>
      </c>
      <c r="D21" s="108">
        <v>7.1570898629549182</v>
      </c>
      <c r="E21" s="108">
        <v>7.8715303429782697</v>
      </c>
      <c r="F21" s="108">
        <v>8.6362909474524567</v>
      </c>
      <c r="G21" s="108">
        <v>9.4540652490050441</v>
      </c>
      <c r="H21" s="108">
        <v>10.327642527198567</v>
      </c>
      <c r="I21" s="109">
        <v>11.25990945092952</v>
      </c>
      <c r="K21" s="105">
        <f>'Transaction Assumptions'!B28</f>
        <v>0.12</v>
      </c>
      <c r="L21" s="106">
        <f ca="1">IRR(E54:E59,0)</f>
        <v>0.64832454229445524</v>
      </c>
      <c r="M21" s="107">
        <f ca="1">E15</f>
        <v>12.167843770567117</v>
      </c>
    </row>
    <row r="22" spans="1:13" ht="18" customHeight="1" x14ac:dyDescent="0.3">
      <c r="A22" s="121">
        <v>9</v>
      </c>
      <c r="B22" s="108">
        <v>6.4783754793946642</v>
      </c>
      <c r="C22" s="108">
        <v>7.160786820218517</v>
      </c>
      <c r="D22" s="108">
        <v>7.8931857300567794</v>
      </c>
      <c r="E22" s="108">
        <v>8.678354750436716</v>
      </c>
      <c r="F22" s="108">
        <v>9.5191791532302297</v>
      </c>
      <c r="G22" s="108">
        <v>10.418648815426073</v>
      </c>
      <c r="H22" s="108">
        <v>11.37986009390316</v>
      </c>
      <c r="I22" s="109">
        <v>12.406017700203741</v>
      </c>
    </row>
    <row r="23" spans="1:13" ht="15" customHeight="1" x14ac:dyDescent="0.3">
      <c r="A23" s="122">
        <v>10</v>
      </c>
      <c r="B23" s="110">
        <v>7.087887532757561</v>
      </c>
      <c r="C23" s="110">
        <v>7.8312036811463344</v>
      </c>
      <c r="D23" s="111">
        <v>8.6292815971586414</v>
      </c>
      <c r="E23" s="111">
        <v>9.4851791578951641</v>
      </c>
      <c r="F23" s="111">
        <v>10.402067359008004</v>
      </c>
      <c r="G23" s="111">
        <v>11.383232381847103</v>
      </c>
      <c r="H23" s="111">
        <v>12.432077660607751</v>
      </c>
      <c r="I23" s="109">
        <v>13.552125949477963</v>
      </c>
    </row>
    <row r="24" spans="1:13" ht="15" customHeight="1" x14ac:dyDescent="0.3">
      <c r="A24" s="122">
        <v>11</v>
      </c>
      <c r="B24" s="110">
        <v>7.6973995861204587</v>
      </c>
      <c r="C24" s="110">
        <v>8.5016205420741517</v>
      </c>
      <c r="D24" s="111">
        <v>9.3653774642605025</v>
      </c>
      <c r="E24" s="111">
        <v>10.29200356535361</v>
      </c>
      <c r="F24" s="111">
        <v>11.284955564785779</v>
      </c>
      <c r="G24" s="111">
        <v>12.347815948268133</v>
      </c>
      <c r="H24" s="111">
        <v>13.484295227312343</v>
      </c>
      <c r="I24" s="109">
        <v>14.698234198752184</v>
      </c>
    </row>
    <row r="25" spans="1:13" ht="15" customHeight="1" x14ac:dyDescent="0.3">
      <c r="A25" s="122">
        <v>12</v>
      </c>
      <c r="B25" s="110">
        <v>8.3069116394833564</v>
      </c>
      <c r="C25" s="110">
        <v>9.1720374030019709</v>
      </c>
      <c r="D25" s="111">
        <v>10.101473331362365</v>
      </c>
      <c r="E25" s="111">
        <v>11.098827972812058</v>
      </c>
      <c r="F25" s="112">
        <v>12.167843770563552</v>
      </c>
      <c r="G25" s="111">
        <v>13.312399514689163</v>
      </c>
      <c r="H25" s="111">
        <v>14.536512794016934</v>
      </c>
      <c r="I25" s="109">
        <v>15.844342448026405</v>
      </c>
    </row>
    <row r="26" spans="1:13" ht="15" customHeight="1" x14ac:dyDescent="0.3">
      <c r="A26" s="122">
        <v>13</v>
      </c>
      <c r="B26" s="110">
        <v>8.916423692846255</v>
      </c>
      <c r="C26" s="110">
        <v>9.8424542639297865</v>
      </c>
      <c r="D26" s="111">
        <v>10.837569198464228</v>
      </c>
      <c r="E26" s="111">
        <v>11.905652380270507</v>
      </c>
      <c r="F26" s="111">
        <v>13.050731976341327</v>
      </c>
      <c r="G26" s="111">
        <v>14.276983081110194</v>
      </c>
      <c r="H26" s="111">
        <v>15.588730360721527</v>
      </c>
      <c r="I26" s="109">
        <v>16.990450697300627</v>
      </c>
    </row>
    <row r="27" spans="1:13" ht="15" customHeight="1" x14ac:dyDescent="0.3">
      <c r="A27" s="122">
        <v>14</v>
      </c>
      <c r="B27" s="110">
        <v>9.5259357462091518</v>
      </c>
      <c r="C27" s="110">
        <v>10.512871124857604</v>
      </c>
      <c r="D27" s="111">
        <v>11.57366506556609</v>
      </c>
      <c r="E27" s="111">
        <v>12.712476787728953</v>
      </c>
      <c r="F27" s="111">
        <v>13.933620182119101</v>
      </c>
      <c r="G27" s="111">
        <v>15.241566647531226</v>
      </c>
      <c r="H27" s="111">
        <v>16.640947927426119</v>
      </c>
      <c r="I27" s="109">
        <v>18.136558946574848</v>
      </c>
    </row>
    <row r="29" spans="1:13" ht="15.75" customHeight="1" x14ac:dyDescent="0.3">
      <c r="A29" s="124" t="s">
        <v>196</v>
      </c>
      <c r="B29" s="124"/>
      <c r="C29" s="124"/>
      <c r="D29" s="124"/>
      <c r="E29" s="124"/>
      <c r="F29" s="124"/>
      <c r="G29" s="124"/>
      <c r="H29" s="124"/>
      <c r="I29" s="124"/>
      <c r="J29" s="124"/>
    </row>
    <row r="30" spans="1:13" ht="18" customHeight="1" x14ac:dyDescent="0.3">
      <c r="A30" s="100">
        <f ca="1">E16</f>
        <v>0.64832454229445524</v>
      </c>
      <c r="B30" s="103">
        <f>C30-0.02</f>
        <v>3.999999999999998E-2</v>
      </c>
      <c r="C30" s="97">
        <f>D30-0.02</f>
        <v>5.9999999999999984E-2</v>
      </c>
      <c r="D30" s="119">
        <f>E30-0.02</f>
        <v>7.9999999999999988E-2</v>
      </c>
      <c r="E30" s="119">
        <f>$F$30-0.02</f>
        <v>9.9999999999999992E-2</v>
      </c>
      <c r="F30" s="119">
        <f>'Transaction Assumptions'!B28</f>
        <v>0.12</v>
      </c>
      <c r="G30" s="119">
        <f>$F$30+0.02</f>
        <v>0.13999999999999999</v>
      </c>
      <c r="H30" s="119">
        <f>G30+0.02</f>
        <v>0.15999999999999998</v>
      </c>
      <c r="I30" s="120">
        <f>H30+0.02</f>
        <v>0.17999999999999997</v>
      </c>
    </row>
    <row r="31" spans="1:13" ht="18" customHeight="1" x14ac:dyDescent="0.3">
      <c r="A31" s="121">
        <v>8</v>
      </c>
      <c r="B31" s="113">
        <f t="dataTable" ref="B31:I37" dt2D="1" dtr="1" r1="K21" r2="E6" ca="1"/>
        <v>0.42465858876832874</v>
      </c>
      <c r="C31" s="113">
        <v>0.45363004421665742</v>
      </c>
      <c r="D31" s="113">
        <v>0.48233817770258947</v>
      </c>
      <c r="E31" s="113">
        <v>0.5108169020094262</v>
      </c>
      <c r="F31" s="113">
        <v>0.53909509093554098</v>
      </c>
      <c r="G31" s="113">
        <v>0.56719745983356051</v>
      </c>
      <c r="H31" s="113">
        <v>0.59514526637558829</v>
      </c>
      <c r="I31" s="114">
        <v>0.62295687368333108</v>
      </c>
    </row>
    <row r="32" spans="1:13" ht="18" customHeight="1" x14ac:dyDescent="0.3">
      <c r="A32" s="121">
        <v>9</v>
      </c>
      <c r="B32" s="113">
        <v>0.453092372578491</v>
      </c>
      <c r="C32" s="115">
        <v>0.48249128487474224</v>
      </c>
      <c r="D32" s="113">
        <v>0.51164727118093967</v>
      </c>
      <c r="E32" s="113">
        <v>0.54059143771978135</v>
      </c>
      <c r="F32" s="113">
        <v>0.56935031927178148</v>
      </c>
      <c r="G32" s="113">
        <v>0.59794666571273147</v>
      </c>
      <c r="H32" s="113">
        <v>0.6264000708871913</v>
      </c>
      <c r="I32" s="114">
        <v>0.65472748006749892</v>
      </c>
    </row>
    <row r="33" spans="1:9" ht="15" customHeight="1" x14ac:dyDescent="0.3">
      <c r="A33" s="122">
        <v>10</v>
      </c>
      <c r="B33" s="116">
        <v>0.4794604628474306</v>
      </c>
      <c r="C33" s="116">
        <v>0.50926570580524011</v>
      </c>
      <c r="D33" s="117">
        <v>0.53884517900684648</v>
      </c>
      <c r="E33" s="117">
        <v>0.56822765315547996</v>
      </c>
      <c r="F33" s="117">
        <v>0.5974377097568413</v>
      </c>
      <c r="G33" s="117">
        <v>0.62649645237680773</v>
      </c>
      <c r="H33" s="117">
        <v>0.65542207758423676</v>
      </c>
      <c r="I33" s="114">
        <v>0.68423033729221716</v>
      </c>
    </row>
    <row r="34" spans="1:9" ht="15" customHeight="1" x14ac:dyDescent="0.3">
      <c r="A34" s="122">
        <v>11</v>
      </c>
      <c r="B34" s="116">
        <v>0.50407262332429692</v>
      </c>
      <c r="C34" s="116">
        <v>0.53426487796874755</v>
      </c>
      <c r="D34" s="117">
        <v>0.56424601474847935</v>
      </c>
      <c r="E34" s="117">
        <v>0.59404282784730578</v>
      </c>
      <c r="F34" s="117">
        <v>0.6236782408308994</v>
      </c>
      <c r="G34" s="117">
        <v>0.65317195629899083</v>
      </c>
      <c r="H34" s="117">
        <v>0.68254097916115231</v>
      </c>
      <c r="I34" s="114">
        <v>0.7118000416674366</v>
      </c>
    </row>
    <row r="35" spans="1:9" ht="15" customHeight="1" x14ac:dyDescent="0.3">
      <c r="A35" s="122">
        <v>12</v>
      </c>
      <c r="B35" s="116">
        <v>0.52717187802535448</v>
      </c>
      <c r="C35" s="116">
        <v>0.55773351308798147</v>
      </c>
      <c r="D35" s="117">
        <v>0.58809670371937228</v>
      </c>
      <c r="E35" s="117">
        <v>0.61828654777602288</v>
      </c>
      <c r="F35" s="118">
        <v>0.64832454229089254</v>
      </c>
      <c r="G35" s="117">
        <v>0.67822918179459291</v>
      </c>
      <c r="H35" s="117">
        <v>0.70801644168222766</v>
      </c>
      <c r="I35" s="114">
        <v>0.7377001718687175</v>
      </c>
    </row>
    <row r="36" spans="1:9" ht="15" customHeight="1" x14ac:dyDescent="0.3">
      <c r="A36" s="122">
        <v>13</v>
      </c>
      <c r="B36" s="116">
        <v>0.54895264089451024</v>
      </c>
      <c r="C36" s="116">
        <v>0.57986755789056099</v>
      </c>
      <c r="D36" s="117">
        <v>0.61059511192710492</v>
      </c>
      <c r="E36" s="117">
        <v>0.64115892763004179</v>
      </c>
      <c r="F36" s="117">
        <v>0.6715792603789259</v>
      </c>
      <c r="G36" s="117">
        <v>0.70187355120448469</v>
      </c>
      <c r="H36" s="117">
        <v>0.73205687625012028</v>
      </c>
      <c r="I36" s="114">
        <v>0.76214231366645069</v>
      </c>
    </row>
    <row r="37" spans="1:9" ht="15" customHeight="1" x14ac:dyDescent="0.3">
      <c r="A37" s="122">
        <v>14</v>
      </c>
      <c r="B37" s="116">
        <v>0.56957303705107698</v>
      </c>
      <c r="C37" s="116">
        <v>0.60082651152708277</v>
      </c>
      <c r="D37" s="117">
        <v>0.63190240328004266</v>
      </c>
      <c r="E37" s="117">
        <v>0.6628230443887424</v>
      </c>
      <c r="F37" s="117">
        <v>0.69360759875626332</v>
      </c>
      <c r="G37" s="117">
        <v>0.72427257979512616</v>
      </c>
      <c r="H37" s="117">
        <v>0.75483227072177272</v>
      </c>
      <c r="I37" s="114">
        <v>0.78529906834928553</v>
      </c>
    </row>
    <row r="54" spans="1:6" ht="15" customHeight="1" x14ac:dyDescent="0.3">
      <c r="A54" t="s">
        <v>197</v>
      </c>
      <c r="D54" s="80">
        <f>-D13</f>
        <v>-664262.94999999972</v>
      </c>
      <c r="E54" s="80">
        <f>-E13</f>
        <v>-664262.94999999972</v>
      </c>
      <c r="F54" s="80">
        <f>-F13</f>
        <v>-664262.94999999972</v>
      </c>
    </row>
    <row r="55" spans="1:6" ht="15" customHeight="1" x14ac:dyDescent="0.3">
      <c r="A55" t="s">
        <v>198</v>
      </c>
      <c r="D55">
        <v>0</v>
      </c>
      <c r="E55">
        <v>0</v>
      </c>
      <c r="F55">
        <v>0</v>
      </c>
    </row>
    <row r="56" spans="1:6" ht="15" customHeight="1" x14ac:dyDescent="0.3">
      <c r="A56" t="s">
        <v>199</v>
      </c>
      <c r="D56">
        <v>0</v>
      </c>
      <c r="E56">
        <v>0</v>
      </c>
      <c r="F56">
        <v>0</v>
      </c>
    </row>
    <row r="57" spans="1:6" ht="15" customHeight="1" x14ac:dyDescent="0.3">
      <c r="D57">
        <v>0</v>
      </c>
      <c r="E57">
        <v>0</v>
      </c>
      <c r="F57">
        <v>0</v>
      </c>
    </row>
    <row r="58" spans="1:6" ht="15" customHeight="1" x14ac:dyDescent="0.3">
      <c r="D58">
        <v>0</v>
      </c>
      <c r="E58">
        <v>0</v>
      </c>
      <c r="F58">
        <v>0</v>
      </c>
    </row>
    <row r="59" spans="1:6" ht="15" customHeight="1" x14ac:dyDescent="0.3">
      <c r="D59" s="80">
        <f ca="1">D14</f>
        <v>6909707.949995731</v>
      </c>
      <c r="E59" s="80">
        <f ca="1">E14</f>
        <v>8082647.7981760325</v>
      </c>
      <c r="F59" s="80">
        <f ca="1">F14</f>
        <v>9255587.6463563349</v>
      </c>
    </row>
    <row r="68" spans="1:1" ht="15" customHeight="1" x14ac:dyDescent="0.3">
      <c r="A68" t="s">
        <v>200</v>
      </c>
    </row>
  </sheetData>
  <mergeCells count="7">
    <mergeCell ref="K19:M19"/>
    <mergeCell ref="A29:J29"/>
    <mergeCell ref="A1:J1"/>
    <mergeCell ref="A2:J2"/>
    <mergeCell ref="A4:J4"/>
    <mergeCell ref="A11:J11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I38"/>
  <sheetViews>
    <sheetView showGridLines="0" zoomScaleNormal="100" workbookViewId="0">
      <pane ySplit="3" topLeftCell="A15" activePane="bottomLeft" state="frozen"/>
      <selection pane="bottomLeft" activeCell="F24" sqref="F24"/>
    </sheetView>
  </sheetViews>
  <sheetFormatPr defaultColWidth="8.6640625" defaultRowHeight="14.4" x14ac:dyDescent="0.3"/>
  <cols>
    <col min="1" max="1" width="42" customWidth="1"/>
    <col min="2" max="9" width="18" customWidth="1"/>
  </cols>
  <sheetData>
    <row r="1" spans="1:9" ht="27.75" customHeight="1" x14ac:dyDescent="0.3">
      <c r="A1" s="125" t="s">
        <v>201</v>
      </c>
      <c r="B1" s="125"/>
      <c r="C1" s="125"/>
      <c r="D1" s="125"/>
      <c r="E1" s="125"/>
      <c r="F1" s="125"/>
      <c r="G1" s="125"/>
      <c r="H1" s="125"/>
    </row>
    <row r="2" spans="1:9" ht="13.5" customHeight="1" x14ac:dyDescent="0.3">
      <c r="A2" s="126" t="s">
        <v>202</v>
      </c>
      <c r="B2" s="126"/>
      <c r="C2" s="126"/>
      <c r="D2" s="126"/>
      <c r="E2" s="126"/>
      <c r="F2" s="126"/>
      <c r="G2" s="126"/>
      <c r="H2" s="126"/>
    </row>
    <row r="4" spans="1:9" ht="15.75" customHeight="1" x14ac:dyDescent="0.3">
      <c r="A4" s="124" t="s">
        <v>203</v>
      </c>
      <c r="B4" s="124"/>
      <c r="C4" s="124"/>
      <c r="D4" s="124"/>
      <c r="E4" s="124"/>
      <c r="F4" s="124"/>
      <c r="G4" s="124"/>
      <c r="H4" s="124"/>
    </row>
    <row r="5" spans="1:9" ht="18" customHeight="1" x14ac:dyDescent="0.3">
      <c r="A5" s="3" t="s">
        <v>204</v>
      </c>
      <c r="B5" s="3" t="s">
        <v>205</v>
      </c>
      <c r="C5" s="3" t="s">
        <v>206</v>
      </c>
      <c r="D5" s="3" t="s">
        <v>71</v>
      </c>
    </row>
    <row r="6" spans="1:9" ht="15" customHeight="1" x14ac:dyDescent="0.3">
      <c r="A6" s="76" t="s">
        <v>207</v>
      </c>
      <c r="B6" s="55">
        <f>'Transaction Assumptions'!B10</f>
        <v>2793901.9499999997</v>
      </c>
      <c r="D6" s="50" t="s">
        <v>208</v>
      </c>
    </row>
    <row r="7" spans="1:9" ht="15" customHeight="1" x14ac:dyDescent="0.3">
      <c r="A7" s="76" t="s">
        <v>209</v>
      </c>
      <c r="B7" s="55">
        <f>'Returns Analysis'!E8</f>
        <v>7037639.0890818126</v>
      </c>
      <c r="D7" s="50" t="s">
        <v>210</v>
      </c>
    </row>
    <row r="8" spans="1:9" ht="15" customHeight="1" x14ac:dyDescent="0.3">
      <c r="A8" s="76" t="s">
        <v>211</v>
      </c>
      <c r="B8" s="41">
        <f>B7-B6</f>
        <v>4243737.1390818134</v>
      </c>
    </row>
    <row r="10" spans="1:9" ht="15.75" customHeight="1" x14ac:dyDescent="0.3">
      <c r="A10" s="124" t="s">
        <v>212</v>
      </c>
      <c r="B10" s="124"/>
      <c r="C10" s="124"/>
      <c r="D10" s="124"/>
      <c r="E10" s="124"/>
      <c r="F10" s="124"/>
      <c r="G10" s="124"/>
      <c r="H10" s="124"/>
    </row>
    <row r="11" spans="1:9" ht="18" customHeight="1" x14ac:dyDescent="0.3">
      <c r="A11" s="3" t="s">
        <v>213</v>
      </c>
      <c r="B11" s="3" t="s">
        <v>214</v>
      </c>
      <c r="C11" s="3" t="s">
        <v>215</v>
      </c>
      <c r="D11" s="3" t="s">
        <v>216</v>
      </c>
    </row>
    <row r="12" spans="1:9" ht="15" customHeight="1" x14ac:dyDescent="0.3">
      <c r="A12" s="50" t="s">
        <v>217</v>
      </c>
      <c r="B12" s="56">
        <f>('Returns Analysis'!E7-'Transaction Assumptions'!B7)*'Transaction Assumptions'!B9</f>
        <v>2748238.8326519276</v>
      </c>
      <c r="C12" s="81">
        <f ca="1">IFERROR(B12/B15,0)</f>
        <v>0.45366722101817958</v>
      </c>
      <c r="D12" s="50" t="s">
        <v>218</v>
      </c>
      <c r="I12" s="80"/>
    </row>
    <row r="13" spans="1:9" ht="15" customHeight="1" x14ac:dyDescent="0.3">
      <c r="A13" s="50" t="s">
        <v>219</v>
      </c>
      <c r="B13" s="56">
        <f>('Returns Analysis'!E6-'Transaction Assumptions'!B9)*'Returns Analysis'!E7</f>
        <v>1495498.3064298858</v>
      </c>
      <c r="C13" s="81">
        <f ca="1">IFERROR(B13/B15,0)</f>
        <v>0.24687030568619034</v>
      </c>
      <c r="D13" s="50" t="s">
        <v>220</v>
      </c>
    </row>
    <row r="14" spans="1:9" ht="15" customHeight="1" x14ac:dyDescent="0.3">
      <c r="A14" s="50" t="s">
        <v>221</v>
      </c>
      <c r="B14" s="56">
        <f ca="1">('Transaction Assumptions'!B21+'Transaction Assumptions'!B22-'Transaction Assumptions'!B20)-('Capital Structure'!G15+'Capital Structure'!G20-'Capital Structure'!G34)</f>
        <v>1814092.7090942196</v>
      </c>
      <c r="C14" s="81">
        <f ca="1">IFERROR(B14/B15,0)</f>
        <v>0.29946247328510478</v>
      </c>
      <c r="D14" s="50" t="s">
        <v>280</v>
      </c>
    </row>
    <row r="15" spans="1:9" ht="15" customHeight="1" x14ac:dyDescent="0.3">
      <c r="A15" s="76" t="s">
        <v>222</v>
      </c>
      <c r="B15" s="61">
        <f ca="1">B12+B13+B14</f>
        <v>6057829.8481760332</v>
      </c>
      <c r="C15" s="81">
        <f ca="1">IFERROR(B15/B15,0)</f>
        <v>1</v>
      </c>
    </row>
    <row r="17" spans="1:9" ht="15.75" customHeight="1" x14ac:dyDescent="0.3">
      <c r="A17" s="124" t="s">
        <v>223</v>
      </c>
      <c r="B17" s="124"/>
      <c r="C17" s="124"/>
      <c r="D17" s="124"/>
      <c r="E17" s="124"/>
      <c r="F17" s="124"/>
      <c r="G17" s="124"/>
      <c r="H17" s="124"/>
    </row>
    <row r="18" spans="1:9" ht="18" customHeight="1" x14ac:dyDescent="0.3">
      <c r="A18" s="3" t="s">
        <v>224</v>
      </c>
      <c r="B18" s="3" t="s">
        <v>205</v>
      </c>
      <c r="C18" s="3" t="s">
        <v>225</v>
      </c>
      <c r="D18" s="3" t="s">
        <v>216</v>
      </c>
    </row>
    <row r="19" spans="1:9" ht="15" customHeight="1" x14ac:dyDescent="0.3">
      <c r="A19" s="37" t="s">
        <v>226</v>
      </c>
      <c r="B19" s="82">
        <f>'Returns Analysis'!E8</f>
        <v>7037639.0890818126</v>
      </c>
      <c r="C19" s="83">
        <f>B19</f>
        <v>7037639.0890818126</v>
      </c>
      <c r="D19" s="84" t="s">
        <v>227</v>
      </c>
    </row>
    <row r="20" spans="1:9" ht="15" customHeight="1" x14ac:dyDescent="0.3">
      <c r="A20" s="1" t="s">
        <v>228</v>
      </c>
      <c r="B20" s="85">
        <v>0</v>
      </c>
      <c r="C20" s="85">
        <f>B19-B20</f>
        <v>7037639.0890818126</v>
      </c>
      <c r="D20" s="86" t="s">
        <v>229</v>
      </c>
    </row>
    <row r="21" spans="1:9" ht="15" customHeight="1" x14ac:dyDescent="0.3">
      <c r="A21" s="2" t="s">
        <v>230</v>
      </c>
      <c r="B21" s="30">
        <f ca="1">-('Capital Structure'!G15)</f>
        <v>0</v>
      </c>
      <c r="C21" s="30">
        <f ca="1">C20+B21</f>
        <v>7037639.0890818126</v>
      </c>
      <c r="D21" s="87" t="s">
        <v>231</v>
      </c>
    </row>
    <row r="22" spans="1:9" ht="15" customHeight="1" x14ac:dyDescent="0.3">
      <c r="A22" s="1" t="s">
        <v>232</v>
      </c>
      <c r="B22" s="85">
        <f>-('Capital Structure'!G20)</f>
        <v>-1519643.4597806188</v>
      </c>
      <c r="C22" s="85">
        <f ca="1">C21+B22</f>
        <v>5517995.6293011941</v>
      </c>
      <c r="D22" s="86" t="s">
        <v>273</v>
      </c>
    </row>
    <row r="23" spans="1:9" ht="15" customHeight="1" x14ac:dyDescent="0.3">
      <c r="A23" s="1" t="s">
        <v>274</v>
      </c>
      <c r="B23" s="85">
        <f ca="1">'Capital Structure'!G34</f>
        <v>2564652.1688748384</v>
      </c>
      <c r="C23" s="85">
        <f ca="1">B23+C22</f>
        <v>8082647.7981760325</v>
      </c>
      <c r="D23" s="86"/>
    </row>
    <row r="24" spans="1:9" ht="15" customHeight="1" x14ac:dyDescent="0.3">
      <c r="A24" s="37" t="s">
        <v>233</v>
      </c>
      <c r="B24" s="41">
        <f ca="1">B19+B20+B21+B22+B23</f>
        <v>8082647.7981760325</v>
      </c>
      <c r="C24" s="83">
        <f ca="1">C23</f>
        <v>8082647.7981760325</v>
      </c>
      <c r="D24" s="84" t="s">
        <v>234</v>
      </c>
    </row>
    <row r="25" spans="1:9" ht="15" customHeight="1" x14ac:dyDescent="0.3">
      <c r="A25" s="1" t="s">
        <v>235</v>
      </c>
      <c r="B25" s="85">
        <f>-MAX(0,'Transaction Assumptions'!B23*((1+0.08)^5))</f>
        <v>-976020.20281299436</v>
      </c>
      <c r="C25" s="85">
        <f ca="1">C24+B25</f>
        <v>7106627.5953630377</v>
      </c>
      <c r="D25" s="86" t="s">
        <v>269</v>
      </c>
      <c r="I25" s="80"/>
    </row>
    <row r="26" spans="1:9" ht="15" customHeight="1" x14ac:dyDescent="0.3">
      <c r="A26" s="2" t="s">
        <v>236</v>
      </c>
      <c r="B26" s="30">
        <f ca="1">MAX(0,B24+B25)</f>
        <v>7106627.5953630377</v>
      </c>
      <c r="C26" s="30">
        <f ca="1">C25</f>
        <v>7106627.5953630377</v>
      </c>
      <c r="D26" s="87" t="s">
        <v>237</v>
      </c>
    </row>
    <row r="27" spans="1:9" ht="15" customHeight="1" x14ac:dyDescent="0.3">
      <c r="A27" s="1" t="s">
        <v>238</v>
      </c>
      <c r="B27" s="85">
        <f ca="1">-B26*0.1</f>
        <v>-710662.75953630381</v>
      </c>
      <c r="C27" s="85">
        <f ca="1">C26+B27</f>
        <v>6395964.8358267341</v>
      </c>
      <c r="D27" s="86" t="s">
        <v>239</v>
      </c>
    </row>
    <row r="28" spans="1:9" ht="15" customHeight="1" x14ac:dyDescent="0.3">
      <c r="A28" s="37" t="s">
        <v>240</v>
      </c>
      <c r="B28" s="41">
        <f ca="1">B26+B27</f>
        <v>6395964.8358267341</v>
      </c>
      <c r="C28" s="83">
        <f ca="1">B28</f>
        <v>6395964.8358267341</v>
      </c>
      <c r="D28" s="84" t="s">
        <v>241</v>
      </c>
    </row>
    <row r="30" spans="1:9" ht="15.75" customHeight="1" x14ac:dyDescent="0.3">
      <c r="A30" s="124" t="s">
        <v>242</v>
      </c>
      <c r="B30" s="124"/>
      <c r="C30" s="124"/>
      <c r="D30" s="124"/>
      <c r="E30" s="124"/>
      <c r="F30" s="124"/>
      <c r="G30" s="124"/>
      <c r="H30" s="124"/>
    </row>
    <row r="31" spans="1:9" ht="15" customHeight="1" x14ac:dyDescent="0.3">
      <c r="A31" s="2" t="s">
        <v>243</v>
      </c>
      <c r="B31" s="88">
        <f>'Transaction Assumptions'!B23</f>
        <v>664262.94999999972</v>
      </c>
    </row>
    <row r="32" spans="1:9" ht="15" customHeight="1" x14ac:dyDescent="0.3">
      <c r="A32" s="1" t="s">
        <v>244</v>
      </c>
      <c r="B32" s="89">
        <f ca="1">'Returns Analysis'!E10</f>
        <v>8082647.7981760325</v>
      </c>
    </row>
    <row r="33" spans="1:2" ht="15" customHeight="1" x14ac:dyDescent="0.3">
      <c r="A33" s="37" t="s">
        <v>245</v>
      </c>
      <c r="B33" s="90">
        <f ca="1">'Returns Analysis'!E15</f>
        <v>12.167843770567117</v>
      </c>
    </row>
    <row r="34" spans="1:2" ht="15" customHeight="1" x14ac:dyDescent="0.3">
      <c r="A34" s="37" t="s">
        <v>246</v>
      </c>
      <c r="B34" s="91">
        <f ca="1">'Returns Analysis'!E16</f>
        <v>0.64832454229445524</v>
      </c>
    </row>
    <row r="35" spans="1:2" ht="15" customHeight="1" x14ac:dyDescent="0.3">
      <c r="A35" s="37" t="s">
        <v>247</v>
      </c>
      <c r="B35" s="90">
        <f ca="1">'Returns Analysis'!D15</f>
        <v>10.40206735901157</v>
      </c>
    </row>
    <row r="36" spans="1:2" ht="15" customHeight="1" x14ac:dyDescent="0.3">
      <c r="A36" s="37" t="s">
        <v>248</v>
      </c>
      <c r="B36" s="91">
        <f ca="1">'Returns Analysis'!D16</f>
        <v>0.59743770976087962</v>
      </c>
    </row>
    <row r="37" spans="1:2" ht="15" customHeight="1" x14ac:dyDescent="0.3">
      <c r="A37" s="37" t="s">
        <v>249</v>
      </c>
      <c r="B37" s="90">
        <f ca="1">'Returns Analysis'!F15</f>
        <v>13.933620182122665</v>
      </c>
    </row>
    <row r="38" spans="1:2" ht="15" customHeight="1" x14ac:dyDescent="0.3">
      <c r="A38" s="37" t="s">
        <v>250</v>
      </c>
      <c r="B38" s="91">
        <f ca="1">'Returns Analysis'!F16</f>
        <v>0.69360759875945921</v>
      </c>
    </row>
  </sheetData>
  <mergeCells count="6">
    <mergeCell ref="A30:H30"/>
    <mergeCell ref="A1:H1"/>
    <mergeCell ref="A2:H2"/>
    <mergeCell ref="A4:H4"/>
    <mergeCell ref="A10:H10"/>
    <mergeCell ref="A17:H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Transaction Assumptions</vt:lpstr>
      <vt:lpstr>Levered FCFs</vt:lpstr>
      <vt:lpstr>Capital Structure</vt:lpstr>
      <vt:lpstr>Returns Analysis</vt:lpstr>
      <vt:lpstr>Value Creation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Urmil Shah</cp:lastModifiedBy>
  <cp:revision>8</cp:revision>
  <dcterms:created xsi:type="dcterms:W3CDTF">2026-03-19T16:20:11Z</dcterms:created>
  <dcterms:modified xsi:type="dcterms:W3CDTF">2026-03-29T23:40:42Z</dcterms:modified>
  <dc:language>en-US</dc:language>
</cp:coreProperties>
</file>